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54355fe4944a8e" /></Relationships>
</file>

<file path=xl/workbook.xml><?xml version="1.0" encoding="utf-8"?>
<x:workbook xmlns:x="http://schemas.openxmlformats.org/spreadsheetml/2006/main">
  <x:sheets>
    <x:sheet xmlns:r="http://schemas.openxmlformats.org/officeDocument/2006/relationships" name="Men" sheetId="1" r:id="Rd92f7ca88b2b4c14"/>
    <x:sheet xmlns:r="http://schemas.openxmlformats.org/officeDocument/2006/relationships" name="Women" sheetId="2" r:id="Rdab0f8e443864d34"/>
    <x:sheet xmlns:r="http://schemas.openxmlformats.org/officeDocument/2006/relationships" name="Home" sheetId="3" r:id="Rbe266f5a5c974bdd"/>
    <x:sheet xmlns:r="http://schemas.openxmlformats.org/officeDocument/2006/relationships" name="TournamentRounds" sheetId="4" r:id="R55d15eb629934995"/>
    <x:sheet xmlns:r="http://schemas.openxmlformats.org/officeDocument/2006/relationships" name="Format" sheetId="5" r:id="Raf6f6150040541a2"/>
    <x:sheet xmlns:r="http://schemas.openxmlformats.org/officeDocument/2006/relationships" name="Standings" sheetId="6" r:id="R5f24bf5c8dbe4ad2"/>
    <x:sheet xmlns:r="http://schemas.openxmlformats.org/officeDocument/2006/relationships" name="Playoffs" sheetId="7" r:id="Re9ed5f028b89494c"/>
    <x:sheet xmlns:r="http://schemas.openxmlformats.org/officeDocument/2006/relationships" name="Results" sheetId="8" r:id="Rf69132a2014d49d5"/>
    <x:sheet xmlns:r="http://schemas.openxmlformats.org/officeDocument/2006/relationships" name="Live" sheetId="9" r:id="R9073d537eb3e4c77"/>
    <x:sheet xmlns:r="http://schemas.openxmlformats.org/officeDocument/2006/relationships" name="Updates" sheetId="10" r:id="R8dbf8db5869c4ea6"/>
    <x:sheet xmlns:r="http://schemas.openxmlformats.org/officeDocument/2006/relationships" name="LiveStandings" sheetId="11" r:id="R2d11b04bbb4443e9"/>
    <x:sheet xmlns:r="http://schemas.openxmlformats.org/officeDocument/2006/relationships" name="Schedule" sheetId="12" r:id="Rc986541bddd34851"/>
    <x:sheet xmlns:r="http://schemas.openxmlformats.org/officeDocument/2006/relationships" name="Gallery" sheetId="13" r:id="Rf5bd49a1bd8c4688"/>
    <x:sheet xmlns:r="http://schemas.openxmlformats.org/officeDocument/2006/relationships" name="HomeGallery" sheetId="14" r:id="R6f66c728dc1a477e"/>
    <x:sheet xmlns:r="http://schemas.openxmlformats.org/officeDocument/2006/relationships" name="Doubles" sheetId="15" r:id="Rb83d4e8b476b4c98"/>
  </x:sheets>
</x:workbook>
</file>

<file path=xl/sharedStrings.xml><?xml version="1.0" encoding="utf-8"?>
<x:sst xmlns:x="http://schemas.openxmlformats.org/spreadsheetml/2006/main">
  <x:si>
    <x:t xml:space="preserve">rank</x:t>
  </x:si>
  <x:si>
    <x:t xml:space="preserve">name</x:t>
  </x:si>
  <x:si>
    <x:t xml:space="preserve">age</x:t>
  </x:si>
  <x:si>
    <x:t xml:space="preserve">plays</x:t>
  </x:si>
  <x:si>
    <x:t xml:space="preserve">wins</x:t>
  </x:si>
  <x:si>
    <x:t xml:space="preserve">losses</x:t>
  </x:si>
  <x:si>
    <x:t xml:space="preserve">racket</x:t>
  </x:si>
  <x:si>
    <x:t xml:space="preserve">dept</x:t>
  </x:si>
  <x:si>
    <x:t xml:space="preserve">photo</x:t>
  </x:si>
  <x:si>
    <x:t xml:space="preserve">Mansurni</x:t>
  </x:si>
  <x:si>
    <x:t xml:space="preserve">Right-handed, Single-handed backhand</x:t>
  </x:si>
  <x:si>
    <x:t xml:space="preserve">Babolat Pure Aero</x:t>
  </x:si>
  <x:si>
    <x:t xml:space="preserve">Plant Operation-1</x:t>
  </x:si>
  <x:si>
    <x:t xml:space="preserve">Aulia Moeda</x:t>
  </x:si>
  <x:si>
    <x:t xml:space="preserve">Right-handed, Double-handed backhand</x:t>
  </x:si>
  <x:si>
    <x:t xml:space="preserve">Head Gravity</x:t>
  </x:si>
  <x:si>
    <x:t xml:space="preserve">Ammonia Tank Project</x:t>
  </x:si>
  <x:si>
    <x:t xml:space="preserve">Osman Saftari</x:t>
  </x:si>
  <x:si>
    <x:t xml:space="preserve">Yonex Ezone</x:t>
  </x:si>
  <x:si>
    <x:t xml:space="preserve">Mursal Rajab</x:t>
  </x:si>
  <x:si>
    <x:t xml:space="preserve">Inspection &amp; Reliability</x:t>
  </x:si>
  <x:si>
    <x:t xml:space="preserve">Giffari Almuzani</x:t>
  </x:si>
  <x:si>
    <x:t xml:space="preserve">Process Engineer</x:t>
  </x:si>
  <x:si>
    <x:t xml:space="preserve">Fariz Ridha</x:t>
  </x:si>
  <x:si>
    <x:t xml:space="preserve">Yonex Vcore</x:t>
  </x:si>
  <x:si>
    <x:t xml:space="preserve">Planning and Maintenance</x:t>
  </x:si>
  <x:si>
    <x:t xml:space="preserve">Arief Rahman</x:t>
  </x:si>
  <x:si>
    <x:t xml:space="preserve">Executive Assistant</x:t>
  </x:si>
  <x:si>
    <x:t xml:space="preserve">El Rivaldy</x:t>
  </x:si>
  <x:si>
    <x:t xml:space="preserve">Babolat Pure Drive</x:t>
  </x:si>
  <x:si>
    <x:t xml:space="preserve">Heavy Equipment</x:t>
  </x:si>
  <x:si>
    <x:t xml:space="preserve">Dian Pratama</x:t>
  </x:si>
  <x:si>
    <x:t xml:space="preserve">Head Speed</x:t>
  </x:si>
  <x:si>
    <x:t xml:space="preserve">Business Development</x:t>
  </x:si>
  <x:si>
    <x:t xml:space="preserve">Zulfajri Ery Syahputra</x:t>
  </x:si>
  <x:si>
    <x:t xml:space="preserve">Babolat Pure Strike</x:t>
  </x:si>
  <x:si>
    <x:t xml:space="preserve">Safety</x:t>
  </x:si>
  <x:si>
    <x:t xml:space="preserve">Rahmat Sunarya</x:t>
  </x:si>
  <x:si>
    <x:t xml:space="preserve">Volkl Boris Becker</x:t>
  </x:si>
  <x:si>
    <x:t xml:space="preserve">Ferdiyansyah</x:t>
  </x:si>
  <x:si>
    <x:t xml:space="preserve">Fathurrahman</x:t>
  </x:si>
  <x:si>
    <x:t xml:space="preserve">Head Radical</x:t>
  </x:si>
  <x:si>
    <x:t xml:space="preserve">Mauliza Arsita</x:t>
  </x:si>
  <x:si>
    <x:t xml:space="preserve">Wilson</x:t>
  </x:si>
  <x:si>
    <x:t xml:space="preserve">Researcher Calibration &amp; Inventory</x:t>
  </x:si>
  <x:si>
    <x:t xml:space="preserve">Azwarni Islamiah</x:t>
  </x:si>
  <x:si>
    <x:t xml:space="preserve">Babolat</x:t>
  </x:si>
  <x:si>
    <x:t xml:space="preserve">Marketing &amp; Sales</x:t>
  </x:si>
  <x:si>
    <x:t xml:space="preserve">Noviana Putri</x:t>
  </x:si>
  <x:si>
    <x:t xml:space="preserve">Finance</x:t>
  </x:si>
  <x:si>
    <x:t xml:space="preserve">Fierda</x:t>
  </x:si>
  <x:si>
    <x:t xml:space="preserve">Dentist (PIKA)</x:t>
  </x:si>
  <x:si>
    <x:t xml:space="preserve">Lisa Zulmayeti</x:t>
  </x:si>
  <x:si>
    <x:t xml:space="preserve">Babolat Boost</x:t>
  </x:si>
  <x:si>
    <x:t xml:space="preserve">Production Planning</x:t>
  </x:si>
  <x:si>
    <x:t xml:space="preserve">tagline</x:t>
  </x:si>
  <x:si>
    <x:t xml:space="preserve">about</x:t>
  </x:si>
  <x:si>
    <x:t xml:space="preserve">mediaType</x:t>
  </x:si>
  <x:si>
    <x:t xml:space="preserve">instagram</x:t>
  </x:si>
  <x:si>
    <x:t xml:space="preserve">mapEmbed</x:t>
  </x:si>
  <x:si>
    <x:t xml:space="preserve">lat</x:t>
  </x:si>
  <x:si>
    <x:t xml:space="preserve">lng</x:t>
  </x:si>
  <x:si>
    <x:t xml:space="preserve">Pupuk Iskandar Muda Tennis Club</x:t>
  </x:si>
  <x:si>
    <x:t xml:space="preserve">Serve, Rally, Win!</x:t>
  </x:si>
  <x:si>
    <x:t xml:space="preserve">PIM Tennis Club is a community-based sports club located in Pupuk Iskandar Muda. We host regular training sessions, tournaments, and represent our organization in external events. Whether you're new to the sport or looking to sharpen your game, our club welcomes players of all levels.</x:t>
  </x:si>
  <x:si>
    <x:t xml:space="preserve">https://osaftari-source.github.io/PIMTC/media/RPsPPb0.jpg</x:t>
  </x:si>
  <x:si>
    <x:t xml:space="preserve">https://www.instagram.com/pimtennisclub/</x:t>
  </x:si>
  <x:si>
    <x:t xml:space="preserve">https://maps-api-ssl.google.com/maps?hl=en-US&amp;ll=5.2179,97.029367&amp;output=embed&amp;q=5.217773,97.029371&amp;z=17</x:t>
  </x:si>
  <x:si>
    <x:t xml:space="preserve">category</x:t>
  </x:si>
  <x:si>
    <x:t xml:space="preserve">roundOrder</x:t>
  </x:si>
  <x:si>
    <x:t xml:space="preserve">roundName</x:t>
  </x:si>
  <x:si>
    <x:t xml:space="preserve">point</x:t>
  </x:si>
  <x:si>
    <x:t xml:space="preserve">men</x:t>
  </x:si>
  <x:si>
    <x:t xml:space="preserve">Round 1</x:t>
  </x:si>
  <x:si>
    <x:t xml:space="preserve">Features 2 groups (Group A and Group B), each with 7 players randomly assigned.</x:t>
  </x:si>
  <x:si>
    <x:t xml:space="preserve">The top 4 players from each group advance to Round 2.</x:t>
  </x:si>
  <x:si>
    <x:t xml:space="preserve">Players ranked 5th and below are eliminated.</x:t>
  </x:si>
  <x:si>
    <x:t xml:space="preserve">Round 2</x:t>
  </x:si>
  <x:si>
    <x:t xml:space="preserve">Features 2 groups of 4 players each, assigned through a cross-group system: Group A gets 1st &amp; 3rd from Group A, 2nd &amp; 4th from Group B; Group B gets 1st &amp; 3rd from Group B, 2nd &amp; 4th from Group A.</x:t>
  </x:si>
  <x:si>
    <x:t xml:space="preserve">Players from the same Round 1 group won't face each other again to avoid rematches.</x:t>
  </x:si>
  <x:si>
    <x:t xml:space="preserve">The top 2 players from each group advance to the Semifinals.</x:t>
  </x:si>
  <x:si>
    <x:t xml:space="preserve">players</x:t>
  </x:si>
  <x:si>
    <x:t xml:space="preserve">sets</x:t>
  </x:si>
  <x:si>
    <x:t xml:space="preserve">games</x:t>
  </x:si>
  <x:si>
    <x:t xml:space="preserve">tiebreak</x:t>
  </x:si>
  <x:si>
    <x:t xml:space="preserve">7pt at 5-5</x:t>
  </x:si>
  <x:si>
    <x:t xml:space="preserve">women</x:t>
  </x:si>
  <x:si>
    <x:t xml:space="preserve">round</x:t>
  </x:si>
  <x:si>
    <x:t xml:space="preserve">group</x:t>
  </x:si>
  <x:si>
    <x:t xml:space="preserve">ranking</x:t>
  </x:si>
  <x:si>
    <x:t xml:space="preserve">player</x:t>
  </x:si>
  <x:si>
    <x:t xml:space="preserve">nickname</x:t>
  </x:si>
  <x:si>
    <x:t xml:space="preserve">mp</x:t>
  </x:si>
  <x:si>
    <x:t xml:space="preserve">w</x:t>
  </x:si>
  <x:si>
    <x:t xml:space="preserve">points</x:t>
  </x:si>
  <x:si>
    <x:t xml:space="preserve">qualified</x:t>
  </x:si>
  <x:si>
    <x:t xml:space="preserve">Group A</x:t>
  </x:si>
  <x:si>
    <x:t xml:space="preserve">TRUE</x:t>
  </x:si>
  <x:si>
    <x:t xml:space="preserve">Hafizh Furqan</x:t>
  </x:si>
  <x:si>
    <x:t xml:space="preserve">Zulfajri Ery S.</x:t>
  </x:si>
  <x:si>
    <x:t xml:space="preserve">FALSE</x:t>
  </x:si>
  <x:si>
    <x:t xml:space="preserve">Group B</x:t>
  </x:si>
  <x:si>
    <x:t xml:space="preserve">Round Robin</x:t>
  </x:si>
  <x:si>
    <x:t xml:space="preserve">Dekta</x:t>
  </x:si>
  <x:si>
    <x:t xml:space="preserve">Mia</x:t>
  </x:si>
  <x:si>
    <x:t xml:space="preserve">Novi</x:t>
  </x:si>
  <x:si>
    <x:t xml:space="preserve">Pipi</x:t>
  </x:si>
  <x:si>
    <x:t xml:space="preserve">Lisa</x:t>
  </x:si>
  <x:si>
    <x:t xml:space="preserve">stage</x:t>
  </x:si>
  <x:si>
    <x:t xml:space="preserve">p1</x:t>
  </x:si>
  <x:si>
    <x:t xml:space="preserve">p2</x:t>
  </x:si>
  <x:si>
    <x:t xml:space="preserve">score</x:t>
  </x:si>
  <x:si>
    <x:t xml:space="preserve">winner</x:t>
  </x:si>
  <x:si>
    <x:t xml:space="preserve">Semifinal 1</x:t>
  </x:si>
  <x:si>
    <x:t xml:space="preserve">6-2</x:t>
  </x:si>
  <x:si>
    <x:t xml:space="preserve">Semifinal 2</x:t>
  </x:si>
  <x:si>
    <x:t xml:space="preserve">Final</x:t>
  </x:si>
  <x:si>
    <x:t xml:space="preserve">6-3</x:t>
  </x:si>
  <x:si>
    <x:t xml:space="preserve">summary</x:t>
  </x:si>
  <x:si>
    <x:t xml:space="preserve">Group A and Group B pool play completed. Top 4 advanced from each group: Mansurni, Hafizh Furqan, Giffari Almuzani and Fariz Ridha from Group A; Aulia Moeda, Osman Saftari, Mursal Rajab and Arief Rahman from Group B.</x:t>
  </x:si>
  <x:si>
    <x:t xml:space="preserve">Cross-group stage completed. Top 2 from each group advanced to the Semifinals: Mansurni and Osman Saftari from Group A; Aulia Moeda and Mursal Rajab from Group B.</x:t>
  </x:si>
  <x:si>
    <x:t xml:space="preserve">Semifinals</x:t>
  </x:si>
  <x:si>
    <x:t xml:space="preserve">Mansurni defeated Mursal Rajab 6-2. Aulia Moeda defeated Osman Saftari 6-2.</x:t>
  </x:si>
  <x:si>
    <x:t xml:space="preserve">Mansurni defeated Aulia Moeda 6-3 to win the championship.</x:t>
  </x:si>
  <x:si>
    <x:t xml:space="preserve">5-player round robin completed. Mauliza Arsita finished 1st (4-0), followed by Azwarni Islamiah, Noviana Putri, Fierda, and Lisa Zulmayeti.</x:t>
  </x:si>
  <x:si>
    <x:t xml:space="preserve">id</x:t>
  </x:si>
  <x:si>
    <x:t xml:space="preserve">status</x:t>
  </x:si>
  <x:si>
    <x:t xml:space="preserve">venue</x:t>
  </x:si>
  <x:si>
    <x:t xml:space="preserve">startDate</x:t>
  </x:si>
  <x:si>
    <x:t xml:space="preserve">teams</x:t>
  </x:si>
  <x:si>
    <x:t xml:space="preserve">description</x:t>
  </x:si>
  <x:si>
    <x:t xml:space="preserve">pimtc500-doubles-2026</x:t>
  </x:si>
  <x:si>
    <x:t xml:space="preserve">Turnamen Tenis Ganda Pria PIMTC 500 2026</x:t>
  </x:si>
  <x:si>
    <x:t xml:space="preserve">PIM Tennis Arena</x:t>
  </x:si>
  <x:si>
    <x:t xml:space="preserve">July 2026</x:t>
  </x:si>
  <x:si>
    <x:t xml:space="preserve">7pt at 6-6</x:t>
  </x:si>
  <x:si>
    <x:t xml:space="preserve">date</x:t>
  </x:si>
  <x:si>
    <x:t xml:space="preserve">order</x:t>
  </x:si>
  <x:si>
    <x:t xml:space="preserve">caption</x:t>
  </x:si>
  <x:si>
    <x:t xml:space="preserve">type</x:t>
  </x:si>
  <x:si>
    <x:t xml:space="preserve">url</x:t>
  </x:si>
  <x:si>
    <x:t xml:space="preserve">Semifinal</x:t>
  </x:si>
  <x:si>
    <x:t xml:space="preserve">Arief/Moeda win over Memed/Heri (7-2)</x:t>
  </x:si>
  <x:si>
    <x:t xml:space="preserve">text</x:t>
  </x:si>
  <x:si>
    <x:t xml:space="preserve">Group Stage</x:t>
  </x:si>
  <x:si>
    <x:t xml:space="preserve">Group A: Giffa/Mursal win over Fathur/Dian (7-3)</x:t>
  </x:si>
  <x:si>
    <x:t xml:space="preserve">Group A: Arief/Moeda win over Osman/Ferdi (7-2) |
Group B: Dian/Fariz win over Syakhrul/Akbar (7-1)</x:t>
  </x:si>
  <x:si>
    <x:t xml:space="preserve">Decision Day!</x:t>
  </x:si>
  <x:si>
    <x:t xml:space="preserve">https://osaftari-source.github.io/PIMTC/media/df2dbf64-b854-4b70-90bb-d3f3be9ba507.png</x:t>
  </x:si>
  <x:si>
    <x:t xml:space="preserve">Group A: Arief/Moeda win over Giffa/Mursal (7-4),  Giffa/Mursal win over Osman/Ferdi (7-3) |
Group B: Dian/Fariz win over Zes/Rahmat (7-6)</x:t>
  </x:si>
  <x:si>
    <x:t xml:space="preserve">Memed/Heri earned a convincing 7-2 victory over Syakhrul/Akbar by dominating the return game, controlling errors, and producing a decisive five-game winning run after the score reached 2-2. Memed/Heri won 34 of the match's 53 points, captured 78% of receiving points, broke serve in all five of Syakhrul/Akbar's service games, and committed only eight unforced errors compared with eighteen from their opponents. Although the winner count was relatively close at 7-5, the ten-error advantage proved far more decisive and was reflected in the app-reported aggressive margins of +8 and -7. The main area for Memed/Heri to improve is service effectiveness: despite landing 85% of first serves, they won only 45% of first-serve points and held just two of four service games. Overall, the match was won through exceptional return pressure, superior rally stability, better decision-making, and much stronger error control</x:t>
  </x:si>
  <x:si>
    <x:t xml:space="preserve">Group A: Arief/Moeda win over Dian/Fathur (7-1) |
Group B: Syahrul/Akbar win over Zes/Rahmat (7-5)</x:t>
  </x:si>
  <x:si>
    <x:t xml:space="preserve">Memed/Heri delivered a dominant performance, defeating Zes/Rahmat 7–2 in around 26 minutes. Although Zes/Rahmat had a slightly higher first-serve percentage at 80% compared to 76%, Memed/Heri were far more effective after the serve, winning 92% of first-serve points and 100% of second-serve points. They also controlled the return game, winning 60% of receiving points and converting 3 of 5 break points, while Zes/Rahmat created no break chances. Memed/Heri led clearly in total points won, 34–13, produced more winners, 8–3, and forced Zes/Rahmat into too many errors.</x:t>
  </x:si>
  <x:si>
    <x:t xml:space="preserve">2026-06-30</x:t>
  </x:si>
  <x:si>
    <x:t xml:space="preserve">First results are in from Group A: Osman/Ferdi with a 7-3 win over Dian/Fathur.</x:t>
  </x:si>
  <x:si>
    <x:t xml:space="preserve">2026-06-29</x:t>
  </x:si>
  <x:si>
    <x:t xml:space="preserve">1st match on Group A</x:t>
  </x:si>
  <x:si>
    <x:t xml:space="preserve">https://osaftari-source.github.io/PIMTC/media/GtjaBpC.jpg</x:t>
  </x:si>
  <x:si>
    <x:t xml:space="preserve">2026-06-25</x:t>
  </x:si>
  <x:si>
    <x:t xml:space="preserve">First results are in from Group B: Fariz/Dian opened with a 7-3 win over Memed/Heri.</x:t>
  </x:si>
  <x:si>
    <x:t xml:space="preserve">1st match on Group B</x:t>
  </x:si>
  <x:si>
    <x:t xml:space="preserve">https://osaftari-source.github.io/PIMTC/media/Q3zga5E.jpg</x:t>
  </x:si>
  <x:si>
    <x:t xml:space="preserve">2026-06-20</x:t>
  </x:si>
  <x:si>
    <x:t xml:space="preserve">Group Stage Draw</x:t>
  </x:si>
  <x:si>
    <x:t xml:space="preserve">Random pairs draw complete — 8 pairs split into Group A and Group B for round-robin group play.</x:t>
  </x:si>
  <x:si>
    <x:t xml:space="preserve">pair</x:t>
  </x:si>
  <x:si>
    <x:t xml:space="preserve">l</x:t>
  </x:si>
  <x:si>
    <x:t xml:space="preserve">gw</x:t>
  </x:si>
  <x:si>
    <x:t xml:space="preserve">gl</x:t>
  </x:si>
  <x:si>
    <x:t xml:space="preserve">diff</x:t>
  </x:si>
  <x:si>
    <x:t xml:space="preserve">Arief / Moeda</x:t>
  </x:si>
  <x:si>
    <x:t xml:space="preserve">Fariz / Dian</x:t>
  </x:si>
  <x:si>
    <x:t xml:space="preserve">Gipa / Mursal</x:t>
  </x:si>
  <x:si>
    <x:t xml:space="preserve">Memed / Heri</x:t>
  </x:si>
  <x:si>
    <x:t xml:space="preserve">Osman / Ferdy</x:t>
  </x:si>
  <x:si>
    <x:t xml:space="preserve">Akbar / Syahrul</x:t>
  </x:si>
  <x:si>
    <x:t xml:space="preserve">Fatur / Dian</x:t>
  </x:si>
  <x:si>
    <x:t xml:space="preserve">Zes / Rahmat</x:t>
  </x:si>
  <x:si>
    <x:t xml:space="preserve">day</x:t>
  </x:si>
  <x:si>
    <x:t xml:space="preserve">time</x:t>
  </x:si>
  <x:si>
    <x:t xml:space="preserve">court</x:t>
  </x:si>
  <x:si>
    <x:t xml:space="preserve">team1</x:t>
  </x:si>
  <x:si>
    <x:t xml:space="preserve">team2</x:t>
  </x:si>
  <x:si>
    <x:t xml:space="preserve">Kamis</x:t>
  </x:si>
  <x:si>
    <x:t xml:space="preserve">17:00</x:t>
  </x:si>
  <x:si>
    <x:t xml:space="preserve">Senin</x:t>
  </x:si>
  <x:si>
    <x:t xml:space="preserve">Selasa</x:t>
  </x:si>
  <x:si>
    <x:t xml:space="preserve">event</x:t>
  </x:si>
  <x:si>
    <x:t xml:space="preserve">The Team</x:t>
  </x:si>
  <x:si>
    <x:t xml:space="preserve">https://osaftari-source.github.io/PIMTC/media/ZddSRle.jpg</x:t>
  </x:si>
</x:sst>
</file>

<file path=xl/styles.xml><?xml version="1.0" encoding="utf-8"?>
<x:styleSheet xmlns:x="http://schemas.openxmlformats.org/spreadsheetml/2006/main">
  <x:numFmts count="3">
    <x:numFmt numFmtId="164" formatCode="yyyy-mm-dd"/>
    <x:numFmt numFmtId="165" formatCode="m-d"/>
    <x:numFmt numFmtId="200" formatCode="@"/>
  </x:numFmts>
  <x:fonts count="8">
    <x:font>
      <x:sz val="11"/>
      <x:color theme="1"/>
      <x:name val="Calibri"/>
    </x:font>
    <x:font>
      <x:b/>
      <x:sz val="11"/>
      <x:color rgb="FFFFFFFF"/>
      <x:name val="Arial"/>
    </x:font>
    <x:font>
      <x:color theme="1"/>
      <x:name val="Calibri"/>
    </x:font>
    <x:font>
      <x:sz val="11"/>
      <x:color theme="1"/>
      <x:name val="Calibri"/>
    </x:font>
    <x:font>
      <x:sz val="11"/>
      <x:color rgb="FF0000FF"/>
      <x:name val="Calibri"/>
    </x:font>
    <x:font>
      <x:color rgb="FF0000FF"/>
      <x:name val="Calibri"/>
    </x:font>
    <x:font>
      <x:color theme="1"/>
      <x:name val="Calibri"/>
    </x:font>
    <x:font>
      <x:b/>
      <x:sz val="11"/>
      <x:color rgb="FFFFFFFF"/>
      <x:name val="Calibri"/>
    </x:font>
  </x:fonts>
  <x:fills count="4">
    <x:fill>
      <x:patternFill patternType="none"/>
    </x:fill>
    <x:fill>
      <x:patternFill patternType="lightGray"/>
    </x:fill>
    <x:fill>
      <x:patternFill patternType="solid">
        <x:fgColor rgb="FF0A1F3D"/>
      </x:patternFill>
    </x:fill>
    <x:fill>
      <x:patternFill patternType="solid">
        <x:fgColor rgb="FF0A1F3D"/>
      </x:patternFill>
    </x:fill>
  </x:fills>
  <x:borders count="1">
    <x:border/>
  </x:borders>
  <x:cellStyleXfs count="1">
    <x:xf numFmtId="0" fontId="0" fillId="0" borderId="0" applyFont="1" applyAlignment="1"/>
  </x:cellStyleXfs>
  <x:cellXfs count="29">
    <x:xf numFmtId="0" fontId="0" fillId="0" borderId="0" xfId="0" applyFont="1" applyAlignment="1">
      <x:alignment vertical="bottom" wrapText="0"/>
    </x:xf>
    <x:xf numFmtId="0" fontId="1" fillId="2" borderId="0" xfId="0" applyFont="1" applyFill="1" applyAlignment="1">
      <x:alignment vertical="center" wrapText="0"/>
    </x:xf>
    <x:xf numFmtId="0" fontId="2" fillId="0" borderId="0" xfId="0" applyFont="1"/>
    <x:xf numFmtId="0" fontId="3" fillId="0" borderId="0" xfId="0" applyFont="1" applyAlignment="1">
      <x:alignment vertical="top" wrapText="1"/>
    </x:xf>
    <x:xf numFmtId="0" fontId="4" fillId="0" borderId="0" xfId="0" applyFont="1" applyAlignment="1">
      <x:alignment vertical="top" wrapText="1"/>
    </x:xf>
    <x:xf numFmtId="164" fontId="2" fillId="0" borderId="0" xfId="0" applyNumberFormat="1" applyFont="1" applyAlignment="1"/>
    <x:xf numFmtId="0" fontId="2" fillId="0" borderId="0" xfId="0" applyFont="1" applyAlignment="1"/>
    <x:xf numFmtId="0" fontId="3" fillId="0" borderId="0" xfId="0" applyFont="1" applyAlignment="1">
      <x:alignment vertical="top" wrapText="1"/>
    </x:xf>
    <x:xf numFmtId="0" fontId="3" fillId="0" borderId="0" xfId="0" applyFont="1" applyAlignment="1">
      <x:alignment vertical="bottom" wrapText="0"/>
    </x:xf>
    <x:xf numFmtId="0" fontId="5" fillId="0" borderId="0" xfId="0" applyFont="1"/>
    <x:xf numFmtId="164" fontId="2" fillId="0" borderId="0" xfId="0" applyNumberFormat="1" applyFont="1"/>
    <x:xf numFmtId="0" fontId="3" fillId="0" borderId="0" xfId="0" applyFont="1" applyAlignment="1">
      <x:alignment vertical="bottom" wrapText="0"/>
    </x:xf>
    <x:xf numFmtId="0" fontId="6" fillId="0" borderId="0" xfId="0" applyFont="1" applyAlignment="1"/>
    <x:xf numFmtId="0" fontId="6" fillId="0" borderId="0" xfId="0" applyFont="1"/>
    <x:xf numFmtId="0" fontId="6" fillId="0" borderId="0" xfId="0" applyFont="1" applyAlignment="1"/>
    <x:xf numFmtId="165" fontId="6" fillId="0" borderId="0" xfId="0" applyNumberFormat="1" applyFont="1" applyAlignment="1"/>
    <x:xf numFmtId="0" fontId="0" fillId="0" borderId="0" xfId="0" applyNumberFormat="1" applyFont="1" applyFill="1" applyBorder="1" applyAlignment="1">
      <x:alignment vertical="bottom" wrapText="0"/>
    </x:xf>
    <x:xf numFmtId="0" fontId="1" fillId="2" borderId="0" xfId="0" applyNumberFormat="1" applyFont="1" applyFill="1" applyBorder="1" applyAlignment="1">
      <x:alignment vertical="center" wrapText="0"/>
    </x:xf>
    <x:xf numFmtId="0" fontId="2" fillId="0" borderId="0" xfId="0" applyNumberFormat="1" applyFont="1" applyFill="1" applyBorder="1"/>
    <x:xf numFmtId="0" fontId="0"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164" fontId="2" fillId="0" borderId="0" xfId="0" applyNumberFormat="1" applyFont="1" applyFill="1" applyBorder="1"/>
    <x:xf numFmtId="0" fontId="5" fillId="0" borderId="0" xfId="0" applyNumberFormat="1" applyFont="1" applyFill="1" applyBorder="1"/>
    <x:xf numFmtId="165" fontId="2" fillId="0" borderId="0" xfId="0" applyNumberFormat="1" applyFont="1" applyFill="1" applyBorder="1"/>
    <x:xf numFmtId="200" fontId="2" fillId="0" borderId="0" xfId="0" applyNumberFormat="1" applyFont="1" applyFill="1" applyBorder="1"/>
    <x:xf numFmtId="0" fontId="0" fillId="3" borderId="0" xfId="0" applyNumberFormat="1" applyFont="1" applyFill="1" applyBorder="1" applyAlignment="1">
      <x:alignment vertical="bottom" wrapText="0"/>
    </x:xf>
    <x:xf numFmtId="0" fontId="7" fillId="3" borderId="0" xfId="0" applyNumberFormat="1" applyFont="1" applyFill="1" applyBorder="1" applyAlignment="1">
      <x:alignment vertical="bottom" wrapText="0"/>
    </x:xf>
    <x:xf numFmtId="0" fontId="7" fillId="3" borderId="0" xfId="0" applyNumberFormat="1" applyFont="1" applyFill="1" applyBorder="1" applyAlignment="1">
      <x:alignment horizontal="center" vertical="bottom" wrapText="0"/>
    </x:xf>
    <x:xf numFmtId="200" fontId="0" fillId="0" borderId="0" xfId="0" applyNumberFormat="1" applyFont="1" applyFill="1" applyBorder="1" applyAlignment="1">
      <x:alignment vertical="bottom"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afa814c634a410d" /><Relationship Type="http://schemas.openxmlformats.org/officeDocument/2006/relationships/theme" Target="/xl/theme/theme1.xml" Id="R77acf7eb81074716" /><Relationship Type="http://schemas.openxmlformats.org/officeDocument/2006/relationships/sharedStrings" Target="/xl/sharedStrings.xml" Id="R212bf832e3e045b0" /><Relationship Type="http://schemas.openxmlformats.org/officeDocument/2006/relationships/worksheet" Target="/xl/worksheets/sheet1.xml" Id="Rd92f7ca88b2b4c14" /><Relationship Type="http://schemas.openxmlformats.org/officeDocument/2006/relationships/worksheet" Target="/xl/worksheets/sheet2.xml" Id="Rdab0f8e443864d34" /><Relationship Type="http://schemas.openxmlformats.org/officeDocument/2006/relationships/worksheet" Target="/xl/worksheets/sheet3.xml" Id="Rbe266f5a5c974bdd" /><Relationship Type="http://schemas.openxmlformats.org/officeDocument/2006/relationships/worksheet" Target="/xl/worksheets/sheet4.xml" Id="R55d15eb629934995" /><Relationship Type="http://schemas.openxmlformats.org/officeDocument/2006/relationships/worksheet" Target="/xl/worksheets/sheet5.xml" Id="Raf6f6150040541a2" /><Relationship Type="http://schemas.openxmlformats.org/officeDocument/2006/relationships/worksheet" Target="/xl/worksheets/sheet6.xml" Id="R5f24bf5c8dbe4ad2" /><Relationship Type="http://schemas.openxmlformats.org/officeDocument/2006/relationships/worksheet" Target="/xl/worksheets/sheet7.xml" Id="Re9ed5f028b89494c" /><Relationship Type="http://schemas.openxmlformats.org/officeDocument/2006/relationships/worksheet" Target="/xl/worksheets/sheet8.xml" Id="Rf69132a2014d49d5" /><Relationship Type="http://schemas.openxmlformats.org/officeDocument/2006/relationships/worksheet" Target="/xl/worksheets/sheet9.xml" Id="R9073d537eb3e4c77" /><Relationship Type="http://schemas.openxmlformats.org/officeDocument/2006/relationships/worksheet" Target="/xl/worksheets/sheet10.xml" Id="R8dbf8db5869c4ea6" /><Relationship Type="http://schemas.openxmlformats.org/officeDocument/2006/relationships/worksheet" Target="/xl/worksheets/sheet11.xml" Id="R2d11b04bbb4443e9" /><Relationship Type="http://schemas.openxmlformats.org/officeDocument/2006/relationships/worksheet" Target="/xl/worksheets/sheet12.xml" Id="Rc986541bddd34851" /><Relationship Type="http://schemas.openxmlformats.org/officeDocument/2006/relationships/worksheet" Target="/xl/worksheets/sheet13.xml" Id="Rf5bd49a1bd8c4688" /><Relationship Type="http://schemas.openxmlformats.org/officeDocument/2006/relationships/worksheet" Target="/xl/worksheets/sheet14.xml" Id="R6f66c728dc1a477e" /><Relationship Type="http://schemas.openxmlformats.org/officeDocument/2006/relationships/worksheet" Target="/xl/worksheets/sheet15.xml" Id="Rb83d4e8b476b4c98"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4.430000305175781" defaultRowHeight="15"/>
  <x:cols>
    <x:col min="1" max="1" width="6" customWidth="1"/>
    <x:col min="2" max="2" width="20" customWidth="1"/>
    <x:col min="3" max="3" width="6" customWidth="1"/>
    <x:col min="4" max="4" width="32" customWidth="1"/>
    <x:col min="5" max="5" width="6" customWidth="1"/>
    <x:col min="6" max="6" width="7" customWidth="1"/>
    <x:col min="7" max="7" width="18" customWidth="1"/>
    <x:col min="8" max="8" width="26" customWidth="1"/>
    <x:col min="9" max="9" width="30" customWidth="1"/>
  </x:cols>
  <x:sheetData>
    <x:row r="1" ht="19.5" customHeight="1">
      <x:c r="A1" s="1" t="s">
        <x:v>0</x:v>
      </x:c>
      <x:c r="B1" s="1" t="s">
        <x:v>1</x:v>
      </x:c>
      <x:c r="C1" s="1" t="s">
        <x:v>2</x:v>
      </x:c>
      <x:c r="D1" s="1" t="s">
        <x:v>3</x:v>
      </x:c>
      <x:c r="E1" s="1" t="s">
        <x:v>4</x:v>
      </x:c>
      <x:c r="F1" s="1" t="s">
        <x:v>5</x:v>
      </x:c>
      <x:c r="G1" s="1" t="s">
        <x:v>6</x:v>
      </x:c>
      <x:c r="H1" s="1" t="s">
        <x:v>7</x:v>
      </x:c>
      <x:c r="I1" s="1" t="s">
        <x:v>8</x:v>
      </x:c>
    </x:row>
    <x:row r="2">
      <x:c r="A2" s="2">
        <x:v>1.0</x:v>
      </x:c>
      <x:c r="B2" s="2" t="s">
        <x:v>9</x:v>
      </x:c>
      <x:c r="C2" s="2">
        <x:v>41.0</x:v>
      </x:c>
      <x:c r="D2" s="2" t="s">
        <x:v>10</x:v>
      </x:c>
      <x:c r="E2" s="2">
        <x:v>10.0</x:v>
      </x:c>
      <x:c r="F2" s="2">
        <x:v>0.0</x:v>
      </x:c>
      <x:c r="G2" s="2" t="s">
        <x:v>11</x:v>
      </x:c>
      <x:c r="H2" s="2" t="s">
        <x:v>12</x:v>
      </x:c>
    </x:row>
    <x:row r="3">
      <x:c r="A3" s="2">
        <x:v>2.0</x:v>
      </x:c>
      <x:c r="B3" s="2" t="s">
        <x:v>13</x:v>
      </x:c>
      <x:c r="C3" s="2">
        <x:v>29.0</x:v>
      </x:c>
      <x:c r="D3" s="2" t="s">
        <x:v>14</x:v>
      </x:c>
      <x:c r="E3" s="2">
        <x:v>8.0</x:v>
      </x:c>
      <x:c r="F3" s="2">
        <x:v>2.0</x:v>
      </x:c>
      <x:c r="G3" s="2" t="s">
        <x:v>15</x:v>
      </x:c>
      <x:c r="H3" s="2" t="s">
        <x:v>16</x:v>
      </x:c>
    </x:row>
    <x:row r="4">
      <x:c r="A4" s="2">
        <x:v>3.0</x:v>
      </x:c>
      <x:c r="B4" s="2" t="s">
        <x:v>17</x:v>
      </x:c>
      <x:c r="C4" s="2">
        <x:v>37.0</x:v>
      </x:c>
      <x:c r="D4" s="2" t="s">
        <x:v>14</x:v>
      </x:c>
      <x:c r="E4" s="2">
        <x:v>7.0</x:v>
      </x:c>
      <x:c r="F4" s="2">
        <x:v>2.0</x:v>
      </x:c>
      <x:c r="G4" s="2" t="s">
        <x:v>18</x:v>
      </x:c>
      <x:c r="H4" s="2" t="s">
        <x:v>16</x:v>
      </x:c>
    </x:row>
    <x:row r="5">
      <x:c r="A5" s="2">
        <x:v>4.0</x:v>
      </x:c>
      <x:c r="B5" s="2" t="s">
        <x:v>19</x:v>
      </x:c>
      <x:c r="C5" s="2">
        <x:v>40.0</x:v>
      </x:c>
      <x:c r="D5" s="2" t="s">
        <x:v>14</x:v>
      </x:c>
      <x:c r="E5" s="2">
        <x:v>6.0</x:v>
      </x:c>
      <x:c r="F5" s="2">
        <x:v>3.0</x:v>
      </x:c>
      <x:c r="G5" s="2" t="s">
        <x:v>11</x:v>
      </x:c>
      <x:c r="H5" s="2" t="s">
        <x:v>20</x:v>
      </x:c>
    </x:row>
    <x:row r="6">
      <x:c r="A6" s="2">
        <x:v>5.0</x:v>
      </x:c>
      <x:c r="B6" s="2" t="s">
        <x:v>21</x:v>
      </x:c>
      <x:c r="C6" s="2">
        <x:v>30.0</x:v>
      </x:c>
      <x:c r="D6" s="2" t="s">
        <x:v>14</x:v>
      </x:c>
      <x:c r="E6" s="2">
        <x:v>5.0</x:v>
      </x:c>
      <x:c r="F6" s="2">
        <x:v>3.0</x:v>
      </x:c>
      <x:c r="G6" s="2" t="s">
        <x:v>18</x:v>
      </x:c>
      <x:c r="H6" s="2" t="s">
        <x:v>22</x:v>
      </x:c>
    </x:row>
    <x:row r="7">
      <x:c r="A7" s="2">
        <x:v>6.0</x:v>
      </x:c>
      <x:c r="B7" s="2" t="s">
        <x:v>23</x:v>
      </x:c>
      <x:c r="C7" s="2">
        <x:v>35.0</x:v>
      </x:c>
      <x:c r="D7" s="2" t="s">
        <x:v>14</x:v>
      </x:c>
      <x:c r="E7" s="2">
        <x:v>3.0</x:v>
      </x:c>
      <x:c r="F7" s="2">
        <x:v>5.0</x:v>
      </x:c>
      <x:c r="G7" s="2" t="s">
        <x:v>24</x:v>
      </x:c>
      <x:c r="H7" s="2" t="s">
        <x:v>25</x:v>
      </x:c>
    </x:row>
    <x:row r="8">
      <x:c r="A8" s="2">
        <x:v>7.0</x:v>
      </x:c>
      <x:c r="B8" s="2" t="s">
        <x:v>26</x:v>
      </x:c>
      <x:c r="C8" s="2">
        <x:v>31.0</x:v>
      </x:c>
      <x:c r="D8" s="2" t="s">
        <x:v>14</x:v>
      </x:c>
      <x:c r="E8" s="2">
        <x:v>3.0</x:v>
      </x:c>
      <x:c r="F8" s="2">
        <x:v>5.0</x:v>
      </x:c>
      <x:c r="G8" s="2" t="s">
        <x:v>11</x:v>
      </x:c>
      <x:c r="H8" s="2" t="s">
        <x:v>27</x:v>
      </x:c>
    </x:row>
    <x:row r="9">
      <x:c r="A9" s="2">
        <x:v>8.0</x:v>
      </x:c>
      <x:c r="B9" s="2" t="s">
        <x:v>28</x:v>
      </x:c>
      <x:c r="D9" s="2" t="s">
        <x:v>10</x:v>
      </x:c>
      <x:c r="E9" s="2">
        <x:v>5.0</x:v>
      </x:c>
      <x:c r="F9" s="2">
        <x:v>3.0</x:v>
      </x:c>
      <x:c r="G9" s="2" t="s">
        <x:v>29</x:v>
      </x:c>
      <x:c r="H9" s="2" t="s">
        <x:v>30</x:v>
      </x:c>
    </x:row>
    <x:row r="10">
      <x:c r="A10" s="2">
        <x:v>9.0</x:v>
      </x:c>
      <x:c r="B10" s="2" t="s">
        <x:v>31</x:v>
      </x:c>
      <x:c r="C10" s="2">
        <x:v>31.0</x:v>
      </x:c>
      <x:c r="D10" s="2" t="s">
        <x:v>14</x:v>
      </x:c>
      <x:c r="E10" s="2">
        <x:v>3.0</x:v>
      </x:c>
      <x:c r="F10" s="2">
        <x:v>6.0</x:v>
      </x:c>
      <x:c r="G10" s="2" t="s">
        <x:v>32</x:v>
      </x:c>
      <x:c r="H10" s="2" t="s">
        <x:v>33</x:v>
      </x:c>
    </x:row>
    <x:row r="11">
      <x:c r="A11" s="2">
        <x:v>10.0</x:v>
      </x:c>
      <x:c r="B11" s="2" t="s">
        <x:v>34</x:v>
      </x:c>
      <x:c r="C11" s="2">
        <x:v>32.0</x:v>
      </x:c>
      <x:c r="D11" s="2" t="s">
        <x:v>10</x:v>
      </x:c>
      <x:c r="E11" s="2">
        <x:v>2.0</x:v>
      </x:c>
      <x:c r="F11" s="2">
        <x:v>5.0</x:v>
      </x:c>
      <x:c r="G11" s="2" t="s">
        <x:v>35</x:v>
      </x:c>
      <x:c r="H11" s="2" t="s">
        <x:v>36</x:v>
      </x:c>
    </x:row>
    <x:row r="12">
      <x:c r="A12" s="2">
        <x:v>11.0</x:v>
      </x:c>
      <x:c r="B12" s="2" t="s">
        <x:v>37</x:v>
      </x:c>
      <x:c r="C12" s="2">
        <x:v>31.0</x:v>
      </x:c>
      <x:c r="D12" s="2" t="s">
        <x:v>10</x:v>
      </x:c>
      <x:c r="E12" s="2">
        <x:v>2.0</x:v>
      </x:c>
      <x:c r="F12" s="2">
        <x:v>6.0</x:v>
      </x:c>
      <x:c r="G12" s="2" t="s">
        <x:v>38</x:v>
      </x:c>
      <x:c r="H12" s="2" t="s">
        <x:v>27</x:v>
      </x:c>
    </x:row>
    <x:row r="13">
      <x:c r="A13" s="2">
        <x:v>12.0</x:v>
      </x:c>
      <x:c r="B13" s="2" t="s">
        <x:v>39</x:v>
      </x:c>
      <x:c r="C13" s="2">
        <x:v>39.0</x:v>
      </x:c>
      <x:c r="D13" s="2" t="s">
        <x:v>10</x:v>
      </x:c>
      <x:c r="E13" s="2">
        <x:v>1.0</x:v>
      </x:c>
      <x:c r="F13" s="2">
        <x:v>6.0</x:v>
      </x:c>
      <x:c r="G13" s="2" t="s">
        <x:v>35</x:v>
      </x:c>
      <x:c r="H13" s="2" t="s">
        <x:v>20</x:v>
      </x:c>
    </x:row>
    <x:row r="14">
      <x:c r="A14" s="2">
        <x:v>13.0</x:v>
      </x:c>
      <x:c r="B14" s="2" t="s">
        <x:v>40</x:v>
      </x:c>
      <x:c r="C14" s="2">
        <x:v>29.0</x:v>
      </x:c>
      <x:c r="D14" s="2" t="s">
        <x:v>10</x:v>
      </x:c>
      <x:c r="E14" s="2">
        <x:v>0.0</x:v>
      </x:c>
      <x:c r="F14" s="2">
        <x:v>7.0</x:v>
      </x:c>
      <x:c r="G14" s="2" t="s">
        <x:v>41</x:v>
      </x:c>
      <x:c r="H14" s="2" t="s">
        <x:v>16</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2.xml><?xml version="1.0" encoding="utf-8"?>
<x:worksheet xmlns:x="http://schemas.openxmlformats.org/spreadsheetml/2006/main">
  <x:sheetFormatPr defaultColWidth="14.430000305175781" defaultRowHeight="15"/>
  <x:cols>
    <x:col min="1" max="1" width="6" customWidth="1"/>
    <x:col min="2" max="2" width="20" customWidth="1"/>
    <x:col min="3" max="3" width="6" customWidth="1"/>
    <x:col min="4" max="4" width="32" customWidth="1"/>
    <x:col min="5" max="5" width="6" customWidth="1"/>
    <x:col min="6" max="6" width="7" customWidth="1"/>
    <x:col min="7" max="7" width="18" customWidth="1"/>
    <x:col min="8" max="8" width="26" customWidth="1"/>
    <x:col min="9" max="9" width="30" customWidth="1"/>
  </x:cols>
  <x:sheetData>
    <x:row r="1" ht="19.5" customHeight="1">
      <x:c r="A1" s="1" t="s">
        <x:v>0</x:v>
      </x:c>
      <x:c r="B1" s="1" t="s">
        <x:v>1</x:v>
      </x:c>
      <x:c r="C1" s="1" t="s">
        <x:v>2</x:v>
      </x:c>
      <x:c r="D1" s="1" t="s">
        <x:v>3</x:v>
      </x:c>
      <x:c r="E1" s="1" t="s">
        <x:v>4</x:v>
      </x:c>
      <x:c r="F1" s="1" t="s">
        <x:v>5</x:v>
      </x:c>
      <x:c r="G1" s="1" t="s">
        <x:v>6</x:v>
      </x:c>
      <x:c r="H1" s="1" t="s">
        <x:v>7</x:v>
      </x:c>
      <x:c r="I1" s="1" t="s">
        <x:v>8</x:v>
      </x:c>
    </x:row>
    <x:row r="2">
      <x:c r="A2" s="2">
        <x:v>1.0</x:v>
      </x:c>
      <x:c r="B2" s="2" t="s">
        <x:v>42</x:v>
      </x:c>
      <x:c r="C2" s="2">
        <x:v>31.0</x:v>
      </x:c>
      <x:c r="D2" s="2" t="s">
        <x:v>14</x:v>
      </x:c>
      <x:c r="E2" s="2">
        <x:v>4.0</x:v>
      </x:c>
      <x:c r="F2" s="2">
        <x:v>0.0</x:v>
      </x:c>
      <x:c r="G2" s="2" t="s">
        <x:v>43</x:v>
      </x:c>
      <x:c r="H2" s="2" t="s">
        <x:v>44</x:v>
      </x:c>
    </x:row>
    <x:row r="3">
      <x:c r="A3" s="2">
        <x:v>2.0</x:v>
      </x:c>
      <x:c r="B3" s="2" t="s">
        <x:v>45</x:v>
      </x:c>
      <x:c r="C3" s="2">
        <x:v>24.0</x:v>
      </x:c>
      <x:c r="D3" s="2" t="s">
        <x:v>14</x:v>
      </x:c>
      <x:c r="E3" s="2">
        <x:v>3.0</x:v>
      </x:c>
      <x:c r="F3" s="2">
        <x:v>1.0</x:v>
      </x:c>
      <x:c r="G3" s="2" t="s">
        <x:v>46</x:v>
      </x:c>
      <x:c r="H3" s="2" t="s">
        <x:v>47</x:v>
      </x:c>
    </x:row>
    <x:row r="4">
      <x:c r="A4" s="2">
        <x:v>3.0</x:v>
      </x:c>
      <x:c r="B4" s="2" t="s">
        <x:v>48</x:v>
      </x:c>
      <x:c r="C4" s="2">
        <x:v>30.0</x:v>
      </x:c>
      <x:c r="D4" s="2" t="s">
        <x:v>14</x:v>
      </x:c>
      <x:c r="E4" s="2">
        <x:v>2.0</x:v>
      </x:c>
      <x:c r="F4" s="2">
        <x:v>2.0</x:v>
      </x:c>
      <x:c r="G4" s="2" t="s">
        <x:v>18</x:v>
      </x:c>
      <x:c r="H4" s="2" t="s">
        <x:v>49</x:v>
      </x:c>
    </x:row>
    <x:row r="5">
      <x:c r="A5" s="2">
        <x:v>4.0</x:v>
      </x:c>
      <x:c r="B5" s="2" t="s">
        <x:v>50</x:v>
      </x:c>
      <x:c r="C5" s="2">
        <x:v>31.0</x:v>
      </x:c>
      <x:c r="D5" s="2" t="s">
        <x:v>14</x:v>
      </x:c>
      <x:c r="E5" s="2">
        <x:v>1.0</x:v>
      </x:c>
      <x:c r="F5" s="2">
        <x:v>3.0</x:v>
      </x:c>
      <x:c r="G5" s="2" t="s">
        <x:v>18</x:v>
      </x:c>
      <x:c r="H5" s="2" t="s">
        <x:v>51</x:v>
      </x:c>
    </x:row>
    <x:row r="6">
      <x:c r="A6" s="2">
        <x:v>5.0</x:v>
      </x:c>
      <x:c r="B6" s="2" t="s">
        <x:v>52</x:v>
      </x:c>
      <x:c r="C6" s="2">
        <x:v>29.0</x:v>
      </x:c>
      <x:c r="D6" s="2" t="s">
        <x:v>14</x:v>
      </x:c>
      <x:c r="E6" s="2">
        <x:v>0.0</x:v>
      </x:c>
      <x:c r="F6" s="2">
        <x:v>4.0</x:v>
      </x:c>
      <x:c r="G6" s="2" t="s">
        <x:v>53</x:v>
      </x:c>
      <x:c r="H6" s="2" t="s">
        <x:v>54</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3.xml><?xml version="1.0" encoding="utf-8"?>
<x:worksheet xmlns:x="http://schemas.openxmlformats.org/spreadsheetml/2006/main">
  <x:sheetFormatPr defaultColWidth="14.430000305175781" defaultRowHeight="15"/>
  <x:cols>
    <x:col min="1" max="1" width="30" customWidth="1"/>
    <x:col min="2" max="2" width="20" customWidth="1"/>
    <x:col min="3" max="3" width="50" customWidth="1"/>
    <x:col min="4" max="4" width="45" customWidth="1"/>
    <x:col min="5" max="5" width="11" customWidth="1"/>
    <x:col min="6" max="6" width="30" customWidth="1"/>
    <x:col min="7" max="7" width="40" customWidth="1"/>
    <x:col min="8" max="9" width="10" customWidth="1"/>
  </x:cols>
  <x:sheetData>
    <x:row r="1" ht="19.5" customHeight="1">
      <x:c r="A1" s="1" t="s">
        <x:v>1</x:v>
      </x:c>
      <x:c r="B1" s="1" t="s">
        <x:v>55</x:v>
      </x:c>
      <x:c r="C1" s="1" t="s">
        <x:v>56</x:v>
      </x:c>
      <x:c r="D1" s="1" t="s">
        <x:v>8</x:v>
      </x:c>
      <x:c r="E1" s="1" t="s">
        <x:v>57</x:v>
      </x:c>
      <x:c r="F1" s="1" t="s">
        <x:v>58</x:v>
      </x:c>
      <x:c r="G1" s="1" t="s">
        <x:v>59</x:v>
      </x:c>
      <x:c r="H1" s="1" t="s">
        <x:v>60</x:v>
      </x:c>
      <x:c r="I1" s="1" t="s">
        <x:v>61</x:v>
      </x:c>
    </x:row>
    <x:row r="2" ht="60" customHeight="1">
      <x:c r="A2" s="3" t="s">
        <x:v>62</x:v>
      </x:c>
      <x:c r="B2" s="3" t="s">
        <x:v>63</x:v>
      </x:c>
      <x:c r="C2" s="3" t="s">
        <x:v>64</x:v>
      </x:c>
      <x:c r="D2" s="4" t="s">
        <x:v>65</x:v>
      </x:c>
      <x:c r="E2" s="3" t="s">
        <x:v>8</x:v>
      </x:c>
      <x:c r="F2" s="3" t="s">
        <x:v>66</x:v>
      </x:c>
      <x:c r="G2" s="3" t="s">
        <x:v>67</x:v>
      </x:c>
      <x:c r="H2" s="3">
        <x:v>5.217773</x:v>
      </x:c>
      <x:c r="I2" s="3">
        <x:v>97.029371</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4.xml><?xml version="1.0" encoding="utf-8"?>
<x:worksheet xmlns:x="http://schemas.openxmlformats.org/spreadsheetml/2006/main">
  <x:sheetFormatPr defaultColWidth="14.430000305175781" defaultRowHeight="15"/>
  <x:cols>
    <x:col min="1" max="1" width="10" customWidth="1"/>
    <x:col min="2" max="2" width="12" customWidth="1"/>
    <x:col min="3" max="3" width="16" customWidth="1"/>
    <x:col min="4" max="4" width="70" customWidth="1"/>
    <x:col min="5" max="6" width="8.710000038146973" customWidth="1"/>
  </x:cols>
  <x:sheetData>
    <x:row r="1" ht="19.5" customHeight="1">
      <x:c r="A1" s="1" t="s">
        <x:v>68</x:v>
      </x:c>
      <x:c r="B1" s="1" t="s">
        <x:v>69</x:v>
      </x:c>
      <x:c r="C1" s="1" t="s">
        <x:v>70</x:v>
      </x:c>
      <x:c r="D1" s="1" t="s">
        <x:v>71</x:v>
      </x:c>
    </x:row>
    <x:row r="2">
      <x:c r="A2" s="2" t="s">
        <x:v>72</x:v>
      </x:c>
      <x:c r="B2" s="2">
        <x:v>1.0</x:v>
      </x:c>
      <x:c r="C2" s="2" t="s">
        <x:v>73</x:v>
      </x:c>
      <x:c r="D2" s="3" t="s">
        <x:v>74</x:v>
      </x:c>
    </x:row>
    <x:row r="3">
      <x:c r="A3" s="2" t="s">
        <x:v>72</x:v>
      </x:c>
      <x:c r="B3" s="2">
        <x:v>1.0</x:v>
      </x:c>
      <x:c r="C3" s="2" t="s">
        <x:v>73</x:v>
      </x:c>
      <x:c r="D3" s="3" t="s">
        <x:v>75</x:v>
      </x:c>
    </x:row>
    <x:row r="4">
      <x:c r="A4" s="2" t="s">
        <x:v>72</x:v>
      </x:c>
      <x:c r="B4" s="2">
        <x:v>1.0</x:v>
      </x:c>
      <x:c r="C4" s="2" t="s">
        <x:v>73</x:v>
      </x:c>
      <x:c r="D4" s="3" t="s">
        <x:v>76</x:v>
      </x:c>
    </x:row>
    <x:row r="5">
      <x:c r="A5" s="2" t="s">
        <x:v>72</x:v>
      </x:c>
      <x:c r="B5" s="2">
        <x:v>2.0</x:v>
      </x:c>
      <x:c r="C5" s="2" t="s">
        <x:v>77</x:v>
      </x:c>
      <x:c r="D5" s="3" t="s">
        <x:v>78</x:v>
      </x:c>
    </x:row>
    <x:row r="6">
      <x:c r="A6" s="2" t="s">
        <x:v>72</x:v>
      </x:c>
      <x:c r="B6" s="2">
        <x:v>2.0</x:v>
      </x:c>
      <x:c r="C6" s="2" t="s">
        <x:v>77</x:v>
      </x:c>
      <x:c r="D6" s="3" t="s">
        <x:v>79</x:v>
      </x:c>
    </x:row>
    <x:row r="7">
      <x:c r="A7" s="2" t="s">
        <x:v>72</x:v>
      </x:c>
      <x:c r="B7" s="2">
        <x:v>2.0</x:v>
      </x:c>
      <x:c r="C7" s="2" t="s">
        <x:v>77</x:v>
      </x:c>
      <x:c r="D7" s="3" t="s">
        <x:v>80</x:v>
      </x:c>
    </x:row>
    <x:row r="8">
      <x:c r="A8" t="str">
        <x:v>doubles</x:v>
      </x:c>
      <x:c r="B8" t="n">
        <x:v>1</x:v>
      </x:c>
      <x:c r="C8" t="str">
        <x:v>Group Stage</x:v>
      </x:c>
      <x:c r="D8" t="str">
        <x:v>8 pairs split into Group A and Group B.</x:v>
      </x:c>
    </x:row>
    <x:row r="9">
      <x:c r="A9" t="str">
        <x:v>doubles</x:v>
      </x:c>
      <x:c r="B9" t="n">
        <x:v>1</x:v>
      </x:c>
      <x:c r="C9" t="str">
        <x:v>Group Stage</x:v>
      </x:c>
      <x:c r="D9" t="str">
        <x:v>Each pair played round-robin matches within its group.</x:v>
      </x:c>
    </x:row>
    <x:row r="10">
      <x:c r="A10" t="str">
        <x:v>doubles</x:v>
      </x:c>
      <x:c r="B10" t="n">
        <x:v>1</x:v>
      </x:c>
      <x:c r="C10" t="str">
        <x:v>Group Stage</x:v>
      </x:c>
      <x:c r="D10" t="str">
        <x:v>The top pairs advanced to the elimination round.</x:v>
      </x:c>
    </x:row>
    <x:row r="11">
      <x:c r="A11" t="str">
        <x:v>doubles</x:v>
      </x:c>
      <x:c r="B11" t="n">
        <x:v>2</x:v>
      </x:c>
      <x:c r="C11" t="str">
        <x:v>Elimination Round</x:v>
      </x:c>
      <x:c r="D11" t="str">
        <x:v>The knockout phase was played through Semifinals and Final.</x:v>
      </x:c>
    </x:row>
    <x:row r="12">
      <x:c r="A12" t="str">
        <x:v>doubles</x:v>
      </x:c>
      <x:c r="B12" t="n">
        <x:v>2</x:v>
      </x:c>
      <x:c r="C12" t="str">
        <x:v>Elimination Round</x:v>
      </x:c>
      <x:c r="D12" t="str">
        <x:v>Each player receives an individual doubles ranking based on their pair's tournament result.</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5.xml><?xml version="1.0" encoding="utf-8"?>
<x:worksheet xmlns:x="http://schemas.openxmlformats.org/spreadsheetml/2006/main">
  <x:sheetFormatPr defaultColWidth="14.430000305175781" defaultRowHeight="15"/>
  <x:cols>
    <x:col min="1" max="2" width="10" customWidth="1"/>
    <x:col min="3" max="4" width="8" customWidth="1"/>
    <x:col min="5" max="5" width="16" customWidth="1"/>
    <x:col min="6" max="6" width="8.710000038146973" customWidth="1"/>
  </x:cols>
  <x:sheetData>
    <x:row r="1" ht="19.5" customHeight="1">
      <x:c r="A1" s="1" t="s">
        <x:v>68</x:v>
      </x:c>
      <x:c r="B1" s="1" t="s">
        <x:v>81</x:v>
      </x:c>
      <x:c r="C1" s="1" t="s">
        <x:v>82</x:v>
      </x:c>
      <x:c r="D1" s="1" t="s">
        <x:v>83</x:v>
      </x:c>
      <x:c r="E1" s="1" t="s">
        <x:v>84</x:v>
      </x:c>
    </x:row>
    <x:row r="2">
      <x:c r="A2" s="2" t="s">
        <x:v>72</x:v>
      </x:c>
      <x:c r="B2" s="2">
        <x:v>14.0</x:v>
      </x:c>
      <x:c r="C2" s="2">
        <x:v>1.0</x:v>
      </x:c>
      <x:c r="D2" s="2">
        <x:v>6.0</x:v>
      </x:c>
      <x:c r="E2" s="2" t="s">
        <x:v>85</x:v>
      </x:c>
    </x:row>
    <x:row r="3">
      <x:c r="A3" s="2" t="s">
        <x:v>86</x:v>
      </x:c>
      <x:c r="B3" s="2">
        <x:v>5.0</x:v>
      </x:c>
      <x:c r="C3" s="2">
        <x:v>1.0</x:v>
      </x:c>
      <x:c r="D3" s="2">
        <x:v>4.0</x:v>
      </x:c>
    </x:row>
    <x:row r="4">
      <x:c r="A4" t="str">
        <x:v>doubles</x:v>
      </x:c>
      <x:c r="B4" t="n">
        <x:v>16</x:v>
      </x:c>
      <x:c r="C4" t="n">
        <x:v>1</x:v>
      </x:c>
      <x:c r="D4" t="n">
        <x:v>7</x:v>
      </x:c>
      <x:c r="E4" t="str">
        <x:v>7pt at 6-6</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6.xml><?xml version="1.0" encoding="utf-8"?>
<x:worksheet xmlns:x="http://schemas.openxmlformats.org/spreadsheetml/2006/main">
  <x:sheetFormatPr defaultColWidth="14.430000305175781" defaultRowHeight="15"/>
  <x:cols>
    <x:col min="1" max="1" width="10" customWidth="1"/>
    <x:col min="2" max="2" width="12" customWidth="1"/>
    <x:col min="3" max="3" width="10" customWidth="1"/>
    <x:col min="4" max="4" width="9" customWidth="1"/>
    <x:col min="5" max="5" width="20" customWidth="1"/>
    <x:col min="6" max="6" width="12" customWidth="1"/>
    <x:col min="7" max="8" width="6" customWidth="1"/>
    <x:col min="9" max="9" width="8" customWidth="1"/>
    <x:col min="10" max="10" width="11" customWidth="1"/>
  </x:cols>
  <x:sheetData>
    <x:row r="1" ht="19.5" customHeight="1">
      <x:c r="A1" s="1" t="s">
        <x:v>68</x:v>
      </x:c>
      <x:c r="B1" s="1" t="s">
        <x:v>87</x:v>
      </x:c>
      <x:c r="C1" s="1" t="s">
        <x:v>88</x:v>
      </x:c>
      <x:c r="D1" s="1" t="s">
        <x:v>89</x:v>
      </x:c>
      <x:c r="E1" s="1" t="s">
        <x:v>90</x:v>
      </x:c>
      <x:c r="F1" s="1" t="s">
        <x:v>91</x:v>
      </x:c>
      <x:c r="G1" s="1" t="s">
        <x:v>92</x:v>
      </x:c>
      <x:c r="H1" s="1" t="s">
        <x:v>93</x:v>
      </x:c>
      <x:c r="I1" s="1" t="s">
        <x:v>94</x:v>
      </x:c>
      <x:c r="J1" s="1" t="s">
        <x:v>95</x:v>
      </x:c>
    </x:row>
    <x:row r="2">
      <x:c r="A2" s="2" t="s">
        <x:v>72</x:v>
      </x:c>
      <x:c r="B2" s="2" t="s">
        <x:v>73</x:v>
      </x:c>
      <x:c r="C2" s="2" t="s">
        <x:v>96</x:v>
      </x:c>
      <x:c r="D2" s="2">
        <x:v>1.0</x:v>
      </x:c>
      <x:c r="E2" s="2" t="s">
        <x:v>9</x:v>
      </x:c>
      <x:c r="G2" s="2">
        <x:v>6.0</x:v>
      </x:c>
      <x:c r="H2" s="2">
        <x:v>6.0</x:v>
      </x:c>
      <x:c r="I2" s="2">
        <x:v>18.0</x:v>
      </x:c>
      <x:c r="J2" s="2" t="s">
        <x:v>97</x:v>
      </x:c>
    </x:row>
    <x:row r="3">
      <x:c r="A3" s="2" t="s">
        <x:v>72</x:v>
      </x:c>
      <x:c r="B3" s="2" t="s">
        <x:v>73</x:v>
      </x:c>
      <x:c r="C3" s="2" t="s">
        <x:v>96</x:v>
      </x:c>
      <x:c r="D3" s="2">
        <x:v>2.0</x:v>
      </x:c>
      <x:c r="E3" s="2" t="s">
        <x:v>98</x:v>
      </x:c>
      <x:c r="G3" s="2">
        <x:v>6.0</x:v>
      </x:c>
      <x:c r="H3" s="2">
        <x:v>4.0</x:v>
      </x:c>
      <x:c r="I3" s="2">
        <x:v>14.0</x:v>
      </x:c>
      <x:c r="J3" s="2" t="s">
        <x:v>97</x:v>
      </x:c>
    </x:row>
    <x:row r="4">
      <x:c r="A4" s="2" t="s">
        <x:v>72</x:v>
      </x:c>
      <x:c r="B4" s="2" t="s">
        <x:v>73</x:v>
      </x:c>
      <x:c r="C4" s="2" t="s">
        <x:v>96</x:v>
      </x:c>
      <x:c r="D4" s="2">
        <x:v>3.0</x:v>
      </x:c>
      <x:c r="E4" s="2" t="s">
        <x:v>21</x:v>
      </x:c>
      <x:c r="G4" s="2">
        <x:v>6.0</x:v>
      </x:c>
      <x:c r="H4" s="2">
        <x:v>4.0</x:v>
      </x:c>
      <x:c r="I4" s="2">
        <x:v>14.0</x:v>
      </x:c>
      <x:c r="J4" s="2" t="s">
        <x:v>97</x:v>
      </x:c>
    </x:row>
    <x:row r="5">
      <x:c r="A5" s="2" t="s">
        <x:v>72</x:v>
      </x:c>
      <x:c r="B5" s="2" t="s">
        <x:v>73</x:v>
      </x:c>
      <x:c r="C5" s="2" t="s">
        <x:v>96</x:v>
      </x:c>
      <x:c r="D5" s="2">
        <x:v>4.0</x:v>
      </x:c>
      <x:c r="E5" s="2" t="s">
        <x:v>23</x:v>
      </x:c>
      <x:c r="G5" s="2">
        <x:v>6.0</x:v>
      </x:c>
      <x:c r="H5" s="2">
        <x:v>3.0</x:v>
      </x:c>
      <x:c r="I5" s="2">
        <x:v>12.0</x:v>
      </x:c>
      <x:c r="J5" s="2" t="s">
        <x:v>97</x:v>
      </x:c>
    </x:row>
    <x:row r="6">
      <x:c r="A6" s="2" t="s">
        <x:v>72</x:v>
      </x:c>
      <x:c r="B6" s="2" t="s">
        <x:v>73</x:v>
      </x:c>
      <x:c r="C6" s="2" t="s">
        <x:v>96</x:v>
      </x:c>
      <x:c r="D6" s="2">
        <x:v>5.0</x:v>
      </x:c>
      <x:c r="E6" s="2" t="s">
        <x:v>99</x:v>
      </x:c>
      <x:c r="G6" s="2">
        <x:v>6.0</x:v>
      </x:c>
      <x:c r="H6" s="2">
        <x:v>2.0</x:v>
      </x:c>
      <x:c r="I6" s="2">
        <x:v>10.0</x:v>
      </x:c>
      <x:c r="J6" s="2" t="s">
        <x:v>100</x:v>
      </x:c>
    </x:row>
    <x:row r="7">
      <x:c r="A7" s="2" t="s">
        <x:v>72</x:v>
      </x:c>
      <x:c r="B7" s="2" t="s">
        <x:v>73</x:v>
      </x:c>
      <x:c r="C7" s="2" t="s">
        <x:v>96</x:v>
      </x:c>
      <x:c r="D7" s="2">
        <x:v>6.0</x:v>
      </x:c>
      <x:c r="E7" s="2" t="s">
        <x:v>37</x:v>
      </x:c>
      <x:c r="G7" s="2">
        <x:v>6.0</x:v>
      </x:c>
      <x:c r="H7" s="2">
        <x:v>1.0</x:v>
      </x:c>
      <x:c r="I7" s="2">
        <x:v>8.0</x:v>
      </x:c>
      <x:c r="J7" s="2" t="s">
        <x:v>100</x:v>
      </x:c>
    </x:row>
    <x:row r="8">
      <x:c r="A8" s="2" t="s">
        <x:v>72</x:v>
      </x:c>
      <x:c r="B8" s="2" t="s">
        <x:v>73</x:v>
      </x:c>
      <x:c r="C8" s="2" t="s">
        <x:v>96</x:v>
      </x:c>
      <x:c r="D8" s="2">
        <x:v>7.0</x:v>
      </x:c>
      <x:c r="E8" s="2" t="s">
        <x:v>39</x:v>
      </x:c>
      <x:c r="G8" s="2">
        <x:v>6.0</x:v>
      </x:c>
      <x:c r="H8" s="2">
        <x:v>1.0</x:v>
      </x:c>
      <x:c r="I8" s="2">
        <x:v>8.0</x:v>
      </x:c>
      <x:c r="J8" s="2" t="s">
        <x:v>100</x:v>
      </x:c>
    </x:row>
    <x:row r="9">
      <x:c r="A9" s="2" t="s">
        <x:v>72</x:v>
      </x:c>
      <x:c r="B9" s="2" t="s">
        <x:v>73</x:v>
      </x:c>
      <x:c r="C9" s="2" t="s">
        <x:v>101</x:v>
      </x:c>
      <x:c r="D9" s="2">
        <x:v>1.0</x:v>
      </x:c>
      <x:c r="E9" s="2" t="s">
        <x:v>13</x:v>
      </x:c>
      <x:c r="G9" s="2">
        <x:v>6.0</x:v>
      </x:c>
      <x:c r="H9" s="2">
        <x:v>5.0</x:v>
      </x:c>
      <x:c r="I9" s="2">
        <x:v>16.0</x:v>
      </x:c>
      <x:c r="J9" s="2" t="s">
        <x:v>97</x:v>
      </x:c>
    </x:row>
    <x:row r="10">
      <x:c r="A10" s="2" t="s">
        <x:v>72</x:v>
      </x:c>
      <x:c r="B10" s="2" t="s">
        <x:v>73</x:v>
      </x:c>
      <x:c r="C10" s="2" t="s">
        <x:v>101</x:v>
      </x:c>
      <x:c r="D10" s="2">
        <x:v>2.0</x:v>
      </x:c>
      <x:c r="E10" s="2" t="s">
        <x:v>17</x:v>
      </x:c>
      <x:c r="G10" s="2">
        <x:v>6.0</x:v>
      </x:c>
      <x:c r="H10" s="2">
        <x:v>5.0</x:v>
      </x:c>
      <x:c r="I10" s="2">
        <x:v>16.0</x:v>
      </x:c>
      <x:c r="J10" s="2" t="s">
        <x:v>97</x:v>
      </x:c>
    </x:row>
    <x:row r="11">
      <x:c r="A11" s="2" t="s">
        <x:v>72</x:v>
      </x:c>
      <x:c r="B11" s="2" t="s">
        <x:v>73</x:v>
      </x:c>
      <x:c r="C11" s="2" t="s">
        <x:v>101</x:v>
      </x:c>
      <x:c r="D11" s="2">
        <x:v>3.0</x:v>
      </x:c>
      <x:c r="E11" s="2" t="s">
        <x:v>19</x:v>
      </x:c>
      <x:c r="G11" s="2">
        <x:v>6.0</x:v>
      </x:c>
      <x:c r="H11" s="2">
        <x:v>4.0</x:v>
      </x:c>
      <x:c r="I11" s="2">
        <x:v>14.0</x:v>
      </x:c>
      <x:c r="J11" s="2" t="s">
        <x:v>97</x:v>
      </x:c>
    </x:row>
    <x:row r="12">
      <x:c r="A12" s="2" t="s">
        <x:v>72</x:v>
      </x:c>
      <x:c r="B12" s="2" t="s">
        <x:v>73</x:v>
      </x:c>
      <x:c r="C12" s="2" t="s">
        <x:v>101</x:v>
      </x:c>
      <x:c r="D12" s="2">
        <x:v>4.0</x:v>
      </x:c>
      <x:c r="E12" s="2" t="s">
        <x:v>26</x:v>
      </x:c>
      <x:c r="G12" s="2">
        <x:v>6.0</x:v>
      </x:c>
      <x:c r="H12" s="2">
        <x:v>3.0</x:v>
      </x:c>
      <x:c r="I12" s="2">
        <x:v>12.0</x:v>
      </x:c>
      <x:c r="J12" s="2" t="s">
        <x:v>97</x:v>
      </x:c>
    </x:row>
    <x:row r="13">
      <x:c r="A13" s="2" t="s">
        <x:v>72</x:v>
      </x:c>
      <x:c r="B13" s="2" t="s">
        <x:v>73</x:v>
      </x:c>
      <x:c r="C13" s="2" t="s">
        <x:v>101</x:v>
      </x:c>
      <x:c r="D13" s="2">
        <x:v>5.0</x:v>
      </x:c>
      <x:c r="E13" s="2" t="s">
        <x:v>28</x:v>
      </x:c>
      <x:c r="G13" s="2">
        <x:v>6.0</x:v>
      </x:c>
      <x:c r="H13" s="2">
        <x:v>3.0</x:v>
      </x:c>
      <x:c r="I13" s="2">
        <x:v>12.0</x:v>
      </x:c>
      <x:c r="J13" s="2" t="s">
        <x:v>100</x:v>
      </x:c>
    </x:row>
    <x:row r="14">
      <x:c r="A14" s="2" t="s">
        <x:v>72</x:v>
      </x:c>
      <x:c r="B14" s="2" t="s">
        <x:v>73</x:v>
      </x:c>
      <x:c r="C14" s="2" t="s">
        <x:v>101</x:v>
      </x:c>
      <x:c r="D14" s="2">
        <x:v>6.0</x:v>
      </x:c>
      <x:c r="E14" s="2" t="s">
        <x:v>31</x:v>
      </x:c>
      <x:c r="G14" s="2">
        <x:v>6.0</x:v>
      </x:c>
      <x:c r="H14" s="2">
        <x:v>1.0</x:v>
      </x:c>
      <x:c r="I14" s="2">
        <x:v>8.0</x:v>
      </x:c>
      <x:c r="J14" s="2" t="s">
        <x:v>100</x:v>
      </x:c>
    </x:row>
    <x:row r="15">
      <x:c r="A15" s="2" t="s">
        <x:v>72</x:v>
      </x:c>
      <x:c r="B15" s="2" t="s">
        <x:v>73</x:v>
      </x:c>
      <x:c r="C15" s="2" t="s">
        <x:v>101</x:v>
      </x:c>
      <x:c r="D15" s="2">
        <x:v>7.0</x:v>
      </x:c>
      <x:c r="E15" s="2" t="s">
        <x:v>40</x:v>
      </x:c>
      <x:c r="G15" s="2">
        <x:v>6.0</x:v>
      </x:c>
      <x:c r="H15" s="2">
        <x:v>0.0</x:v>
      </x:c>
      <x:c r="I15" s="2">
        <x:v>6.0</x:v>
      </x:c>
      <x:c r="J15" s="2" t="s">
        <x:v>100</x:v>
      </x:c>
    </x:row>
    <x:row r="16">
      <x:c r="A16" s="2" t="s">
        <x:v>72</x:v>
      </x:c>
      <x:c r="B16" s="2" t="s">
        <x:v>77</x:v>
      </x:c>
      <x:c r="C16" s="2" t="s">
        <x:v>96</x:v>
      </x:c>
      <x:c r="D16" s="2">
        <x:v>1.0</x:v>
      </x:c>
      <x:c r="E16" s="2" t="s">
        <x:v>9</x:v>
      </x:c>
      <x:c r="G16" s="2">
        <x:v>2.0</x:v>
      </x:c>
      <x:c r="H16" s="2">
        <x:v>2.0</x:v>
      </x:c>
      <x:c r="I16" s="2">
        <x:v>6.0</x:v>
      </x:c>
      <x:c r="J16" s="2" t="s">
        <x:v>97</x:v>
      </x:c>
    </x:row>
    <x:row r="17">
      <x:c r="A17" s="2" t="s">
        <x:v>72</x:v>
      </x:c>
      <x:c r="B17" s="2" t="s">
        <x:v>77</x:v>
      </x:c>
      <x:c r="C17" s="2" t="s">
        <x:v>96</x:v>
      </x:c>
      <x:c r="D17" s="2">
        <x:v>2.0</x:v>
      </x:c>
      <x:c r="E17" s="2" t="s">
        <x:v>17</x:v>
      </x:c>
      <x:c r="G17" s="2">
        <x:v>2.0</x:v>
      </x:c>
      <x:c r="H17" s="2">
        <x:v>1.0</x:v>
      </x:c>
      <x:c r="I17" s="2">
        <x:v>4.0</x:v>
      </x:c>
      <x:c r="J17" s="2" t="s">
        <x:v>97</x:v>
      </x:c>
    </x:row>
    <x:row r="18">
      <x:c r="A18" s="2" t="s">
        <x:v>72</x:v>
      </x:c>
      <x:c r="B18" s="2" t="s">
        <x:v>77</x:v>
      </x:c>
      <x:c r="C18" s="2" t="s">
        <x:v>96</x:v>
      </x:c>
      <x:c r="D18" s="2">
        <x:v>3.0</x:v>
      </x:c>
      <x:c r="E18" s="2" t="s">
        <x:v>21</x:v>
      </x:c>
      <x:c r="G18" s="2">
        <x:v>2.0</x:v>
      </x:c>
      <x:c r="H18" s="2">
        <x:v>1.0</x:v>
      </x:c>
      <x:c r="I18" s="2">
        <x:v>4.0</x:v>
      </x:c>
      <x:c r="J18" s="2" t="s">
        <x:v>100</x:v>
      </x:c>
    </x:row>
    <x:row r="19">
      <x:c r="A19" s="2" t="s">
        <x:v>72</x:v>
      </x:c>
      <x:c r="B19" s="2" t="s">
        <x:v>77</x:v>
      </x:c>
      <x:c r="C19" s="2" t="s">
        <x:v>96</x:v>
      </x:c>
      <x:c r="D19" s="2">
        <x:v>4.0</x:v>
      </x:c>
      <x:c r="E19" s="2" t="s">
        <x:v>26</x:v>
      </x:c>
      <x:c r="G19" s="2">
        <x:v>2.0</x:v>
      </x:c>
      <x:c r="H19" s="2">
        <x:v>0.0</x:v>
      </x:c>
      <x:c r="I19" s="2">
        <x:v>2.0</x:v>
      </x:c>
      <x:c r="J19" s="2" t="s">
        <x:v>100</x:v>
      </x:c>
    </x:row>
    <x:row r="20">
      <x:c r="A20" s="2" t="s">
        <x:v>72</x:v>
      </x:c>
      <x:c r="B20" s="2" t="s">
        <x:v>77</x:v>
      </x:c>
      <x:c r="C20" s="2" t="s">
        <x:v>101</x:v>
      </x:c>
      <x:c r="D20" s="2">
        <x:v>1.0</x:v>
      </x:c>
      <x:c r="E20" s="2" t="s">
        <x:v>13</x:v>
      </x:c>
      <x:c r="G20" s="2">
        <x:v>2.0</x:v>
      </x:c>
      <x:c r="H20" s="2">
        <x:v>2.0</x:v>
      </x:c>
      <x:c r="I20" s="2">
        <x:v>6.0</x:v>
      </x:c>
      <x:c r="J20" s="2" t="s">
        <x:v>97</x:v>
      </x:c>
    </x:row>
    <x:row r="21" ht="15.75" customHeight="1">
      <x:c r="A21" s="2" t="s">
        <x:v>72</x:v>
      </x:c>
      <x:c r="B21" s="2" t="s">
        <x:v>77</x:v>
      </x:c>
      <x:c r="C21" s="2" t="s">
        <x:v>101</x:v>
      </x:c>
      <x:c r="D21" s="2">
        <x:v>2.0</x:v>
      </x:c>
      <x:c r="E21" s="2" t="s">
        <x:v>19</x:v>
      </x:c>
      <x:c r="G21" s="2">
        <x:v>2.0</x:v>
      </x:c>
      <x:c r="H21" s="2">
        <x:v>2.0</x:v>
      </x:c>
      <x:c r="I21" s="2">
        <x:v>6.0</x:v>
      </x:c>
      <x:c r="J21" s="2" t="s">
        <x:v>97</x:v>
      </x:c>
    </x:row>
    <x:row r="22" ht="15.75" customHeight="1">
      <x:c r="A22" s="2" t="s">
        <x:v>72</x:v>
      </x:c>
      <x:c r="B22" s="2" t="s">
        <x:v>77</x:v>
      </x:c>
      <x:c r="C22" s="2" t="s">
        <x:v>101</x:v>
      </x:c>
      <x:c r="D22" s="2">
        <x:v>3.0</x:v>
      </x:c>
      <x:c r="E22" s="2" t="s">
        <x:v>98</x:v>
      </x:c>
      <x:c r="G22" s="2">
        <x:v>2.0</x:v>
      </x:c>
      <x:c r="H22" s="2">
        <x:v>0.0</x:v>
      </x:c>
      <x:c r="I22" s="2">
        <x:v>2.0</x:v>
      </x:c>
      <x:c r="J22" s="2" t="s">
        <x:v>100</x:v>
      </x:c>
    </x:row>
    <x:row r="23" ht="15.75" customHeight="1">
      <x:c r="A23" s="2" t="s">
        <x:v>72</x:v>
      </x:c>
      <x:c r="B23" s="2" t="s">
        <x:v>77</x:v>
      </x:c>
      <x:c r="C23" s="2" t="s">
        <x:v>101</x:v>
      </x:c>
      <x:c r="D23" s="2">
        <x:v>4.0</x:v>
      </x:c>
      <x:c r="E23" s="2" t="s">
        <x:v>23</x:v>
      </x:c>
      <x:c r="G23" s="2">
        <x:v>2.0</x:v>
      </x:c>
      <x:c r="H23" s="2">
        <x:v>0.0</x:v>
      </x:c>
      <x:c r="I23" s="2">
        <x:v>2.0</x:v>
      </x:c>
      <x:c r="J23" s="2" t="s">
        <x:v>100</x:v>
      </x:c>
    </x:row>
    <x:row r="24" ht="15.75" customHeight="1">
      <x:c r="A24" s="2" t="s">
        <x:v>86</x:v>
      </x:c>
      <x:c r="B24" s="2" t="s">
        <x:v>102</x:v>
      </x:c>
      <x:c r="D24" s="2">
        <x:v>1.0</x:v>
      </x:c>
      <x:c r="E24" s="2" t="s">
        <x:v>42</x:v>
      </x:c>
      <x:c r="F24" s="2" t="s">
        <x:v>103</x:v>
      </x:c>
      <x:c r="G24" s="2">
        <x:v>4.0</x:v>
      </x:c>
      <x:c r="H24" s="2">
        <x:v>4.0</x:v>
      </x:c>
      <x:c r="I24" s="2">
        <x:v>12.0</x:v>
      </x:c>
    </x:row>
    <x:row r="25" ht="15.75" customHeight="1">
      <x:c r="A25" s="2" t="s">
        <x:v>86</x:v>
      </x:c>
      <x:c r="B25" s="2" t="s">
        <x:v>102</x:v>
      </x:c>
      <x:c r="D25" s="2">
        <x:v>2.0</x:v>
      </x:c>
      <x:c r="E25" s="2" t="s">
        <x:v>45</x:v>
      </x:c>
      <x:c r="F25" s="2" t="s">
        <x:v>104</x:v>
      </x:c>
      <x:c r="G25" s="2">
        <x:v>4.0</x:v>
      </x:c>
      <x:c r="H25" s="2">
        <x:v>3.0</x:v>
      </x:c>
      <x:c r="I25" s="2">
        <x:v>10.0</x:v>
      </x:c>
    </x:row>
    <x:row r="26" ht="15.75" customHeight="1">
      <x:c r="A26" s="2" t="s">
        <x:v>86</x:v>
      </x:c>
      <x:c r="B26" s="2" t="s">
        <x:v>102</x:v>
      </x:c>
      <x:c r="D26" s="2">
        <x:v>3.0</x:v>
      </x:c>
      <x:c r="E26" s="2" t="s">
        <x:v>48</x:v>
      </x:c>
      <x:c r="F26" s="2" t="s">
        <x:v>105</x:v>
      </x:c>
      <x:c r="G26" s="2">
        <x:v>4.0</x:v>
      </x:c>
      <x:c r="H26" s="2">
        <x:v>2.0</x:v>
      </x:c>
      <x:c r="I26" s="2">
        <x:v>8.0</x:v>
      </x:c>
    </x:row>
    <x:row r="27" ht="15.75" customHeight="1">
      <x:c r="A27" s="2" t="s">
        <x:v>86</x:v>
      </x:c>
      <x:c r="B27" s="2" t="s">
        <x:v>102</x:v>
      </x:c>
      <x:c r="D27" s="2">
        <x:v>4.0</x:v>
      </x:c>
      <x:c r="E27" s="2" t="s">
        <x:v>50</x:v>
      </x:c>
      <x:c r="F27" s="2" t="s">
        <x:v>106</x:v>
      </x:c>
      <x:c r="G27" s="2">
        <x:v>4.0</x:v>
      </x:c>
      <x:c r="H27" s="2">
        <x:v>1.0</x:v>
      </x:c>
      <x:c r="I27" s="2">
        <x:v>6.0</x:v>
      </x:c>
    </x:row>
    <x:row r="28" ht="15.75" customHeight="1">
      <x:c r="A28" s="2" t="s">
        <x:v>86</x:v>
      </x:c>
      <x:c r="B28" s="2" t="s">
        <x:v>102</x:v>
      </x:c>
      <x:c r="D28" s="2">
        <x:v>5.0</x:v>
      </x:c>
      <x:c r="E28" s="2" t="s">
        <x:v>52</x:v>
      </x:c>
      <x:c r="F28" s="2" t="s">
        <x:v>107</x:v>
      </x:c>
      <x:c r="G28" s="2">
        <x:v>4.0</x:v>
      </x:c>
      <x:c r="H28" s="2">
        <x:v>0.0</x:v>
      </x:c>
      <x:c r="I28" s="2">
        <x:v>4.0</x:v>
      </x:c>
    </x:row>
    <x:row r="29" ht="15.75" customHeight="1">
      <x:c r="A29" t="str">
        <x:v>doubles</x:v>
      </x:c>
      <x:c r="B29" t="str">
        <x:v>Group Stage</x:v>
      </x:c>
      <x:c r="C29" t="str">
        <x:v>Group A</x:v>
      </x:c>
      <x:c r="D29" t="n">
        <x:v>1</x:v>
      </x:c>
      <x:c r="E29" t="str">
        <x:v>Arief / Moeda</x:v>
      </x:c>
      <x:c r="F29" t="str"/>
      <x:c r="G29" t="n">
        <x:v>3</x:v>
      </x:c>
      <x:c r="H29" t="n">
        <x:v>3</x:v>
      </x:c>
      <x:c r="I29" t="n">
        <x:v>9</x:v>
      </x:c>
      <x:c r="J29" t="str">
        <x:v>TRUE</x:v>
      </x:c>
    </x:row>
    <x:row r="30" ht="15.75" customHeight="1">
      <x:c r="A30" t="str">
        <x:v>doubles</x:v>
      </x:c>
      <x:c r="B30" t="str">
        <x:v>Group Stage</x:v>
      </x:c>
      <x:c r="C30" t="str">
        <x:v>Group A</x:v>
      </x:c>
      <x:c r="D30" t="n">
        <x:v>2</x:v>
      </x:c>
      <x:c r="E30" t="str">
        <x:v>Gipa / Mursal</x:v>
      </x:c>
      <x:c r="F30" t="str"/>
      <x:c r="G30" t="n">
        <x:v>3</x:v>
      </x:c>
      <x:c r="H30" t="n">
        <x:v>2</x:v>
      </x:c>
      <x:c r="I30" t="n">
        <x:v>7</x:v>
      </x:c>
      <x:c r="J30" t="str">
        <x:v>TRUE</x:v>
      </x:c>
    </x:row>
    <x:row r="31" ht="15.75" customHeight="1">
      <x:c r="A31" t="str">
        <x:v>doubles</x:v>
      </x:c>
      <x:c r="B31" t="str">
        <x:v>Group Stage</x:v>
      </x:c>
      <x:c r="C31" t="str">
        <x:v>Group A</x:v>
      </x:c>
      <x:c r="D31" t="n">
        <x:v>3</x:v>
      </x:c>
      <x:c r="E31" t="str">
        <x:v>Osman / Ferdy</x:v>
      </x:c>
      <x:c r="F31" t="str"/>
      <x:c r="G31" t="n">
        <x:v>3</x:v>
      </x:c>
      <x:c r="H31" t="n">
        <x:v>1</x:v>
      </x:c>
      <x:c r="I31" t="n">
        <x:v>5</x:v>
      </x:c>
      <x:c r="J31" t="str">
        <x:v>FALSE</x:v>
      </x:c>
    </x:row>
    <x:row r="32" ht="15.75" customHeight="1">
      <x:c r="A32" t="str">
        <x:v>doubles</x:v>
      </x:c>
      <x:c r="B32" t="str">
        <x:v>Group Stage</x:v>
      </x:c>
      <x:c r="C32" t="str">
        <x:v>Group A</x:v>
      </x:c>
      <x:c r="D32" t="n">
        <x:v>4</x:v>
      </x:c>
      <x:c r="E32" t="str">
        <x:v>Fatur / Dian</x:v>
      </x:c>
      <x:c r="F32" t="str"/>
      <x:c r="G32" t="n">
        <x:v>3</x:v>
      </x:c>
      <x:c r="H32" t="n">
        <x:v>0</x:v>
      </x:c>
      <x:c r="I32" t="n">
        <x:v>3</x:v>
      </x:c>
      <x:c r="J32" t="str">
        <x:v>FALSE</x:v>
      </x:c>
    </x:row>
    <x:row r="33" ht="15.75" customHeight="1">
      <x:c r="A33" t="str">
        <x:v>doubles</x:v>
      </x:c>
      <x:c r="B33" t="str">
        <x:v>Group Stage</x:v>
      </x:c>
      <x:c r="C33" t="str">
        <x:v>Group B</x:v>
      </x:c>
      <x:c r="D33" t="n">
        <x:v>1</x:v>
      </x:c>
      <x:c r="E33" t="str">
        <x:v>Fariz / Dian</x:v>
      </x:c>
      <x:c r="F33" t="str"/>
      <x:c r="G33" t="n">
        <x:v>3</x:v>
      </x:c>
      <x:c r="H33" t="n">
        <x:v>3</x:v>
      </x:c>
      <x:c r="I33" t="n">
        <x:v>9</x:v>
      </x:c>
      <x:c r="J33" t="str">
        <x:v>TRUE</x:v>
      </x:c>
    </x:row>
    <x:row r="34" ht="15.75" customHeight="1">
      <x:c r="A34" t="str">
        <x:v>doubles</x:v>
      </x:c>
      <x:c r="B34" t="str">
        <x:v>Group Stage</x:v>
      </x:c>
      <x:c r="C34" t="str">
        <x:v>Group B</x:v>
      </x:c>
      <x:c r="D34" t="n">
        <x:v>2</x:v>
      </x:c>
      <x:c r="E34" t="str">
        <x:v>Memed / Heri</x:v>
      </x:c>
      <x:c r="F34" t="str"/>
      <x:c r="G34" t="n">
        <x:v>3</x:v>
      </x:c>
      <x:c r="H34" t="n">
        <x:v>2</x:v>
      </x:c>
      <x:c r="I34" t="n">
        <x:v>7</x:v>
      </x:c>
      <x:c r="J34" t="str">
        <x:v>TRUE</x:v>
      </x:c>
    </x:row>
    <x:row r="35" ht="15.75" customHeight="1">
      <x:c r="A35" t="str">
        <x:v>doubles</x:v>
      </x:c>
      <x:c r="B35" t="str">
        <x:v>Group Stage</x:v>
      </x:c>
      <x:c r="C35" t="str">
        <x:v>Group B</x:v>
      </x:c>
      <x:c r="D35" t="n">
        <x:v>3</x:v>
      </x:c>
      <x:c r="E35" t="str">
        <x:v>Akbar / Syahrul</x:v>
      </x:c>
      <x:c r="F35" t="str"/>
      <x:c r="G35" t="n">
        <x:v>3</x:v>
      </x:c>
      <x:c r="H35" t="n">
        <x:v>1</x:v>
      </x:c>
      <x:c r="I35" t="n">
        <x:v>5</x:v>
      </x:c>
      <x:c r="J35" t="str">
        <x:v>FALSE</x:v>
      </x:c>
    </x:row>
    <x:row r="36" ht="15.75" customHeight="1">
      <x:c r="A36" t="str">
        <x:v>doubles</x:v>
      </x:c>
      <x:c r="B36" t="str">
        <x:v>Group Stage</x:v>
      </x:c>
      <x:c r="C36" t="str">
        <x:v>Group B</x:v>
      </x:c>
      <x:c r="D36" t="n">
        <x:v>4</x:v>
      </x:c>
      <x:c r="E36" t="str">
        <x:v>Zes / Rahmat</x:v>
      </x:c>
      <x:c r="F36" t="str"/>
      <x:c r="G36" t="n">
        <x:v>3</x:v>
      </x:c>
      <x:c r="H36" t="n">
        <x:v>0</x:v>
      </x:c>
      <x:c r="I36" t="n">
        <x:v>3</x:v>
      </x:c>
      <x:c r="J36" t="str">
        <x:v>FALSE</x:v>
      </x:c>
    </x:row>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7.xml><?xml version="1.0" encoding="utf-8"?>
<x:worksheet xmlns:x="http://schemas.openxmlformats.org/spreadsheetml/2006/main">
  <x:sheetFormatPr defaultColWidth="14.430000305175781" defaultRowHeight="15"/>
  <x:cols>
    <x:col min="1" max="1" width="10" customWidth="1"/>
    <x:col min="2" max="2" width="14" customWidth="1"/>
    <x:col min="3" max="4" width="20" customWidth="1"/>
    <x:col min="5" max="5" width="10" customWidth="1"/>
    <x:col min="6" max="6" width="20" customWidth="1"/>
  </x:cols>
  <x:sheetData>
    <x:row r="1" ht="19.5" customHeight="1">
      <x:c r="A1" s="1" t="s">
        <x:v>68</x:v>
      </x:c>
      <x:c r="B1" s="1" t="s">
        <x:v>108</x:v>
      </x:c>
      <x:c r="C1" s="1" t="s">
        <x:v>109</x:v>
      </x:c>
      <x:c r="D1" s="1" t="s">
        <x:v>110</x:v>
      </x:c>
      <x:c r="E1" s="1" t="s">
        <x:v>111</x:v>
      </x:c>
      <x:c r="F1" s="1" t="s">
        <x:v>112</x:v>
      </x:c>
    </x:row>
    <x:row r="2">
      <x:c r="A2" s="2" t="s">
        <x:v>72</x:v>
      </x:c>
      <x:c r="B2" s="2" t="s">
        <x:v>113</x:v>
      </x:c>
      <x:c r="C2" s="2" t="s">
        <x:v>9</x:v>
      </x:c>
      <x:c r="D2" s="2" t="s">
        <x:v>19</x:v>
      </x:c>
      <x:c r="E2" s="2" t="s">
        <x:v>114</x:v>
      </x:c>
      <x:c r="F2" s="2" t="s">
        <x:v>9</x:v>
      </x:c>
    </x:row>
    <x:row r="3">
      <x:c r="A3" s="2" t="s">
        <x:v>72</x:v>
      </x:c>
      <x:c r="B3" s="2" t="s">
        <x:v>115</x:v>
      </x:c>
      <x:c r="C3" s="2" t="s">
        <x:v>13</x:v>
      </x:c>
      <x:c r="D3" s="2" t="s">
        <x:v>17</x:v>
      </x:c>
      <x:c r="E3" s="2" t="s">
        <x:v>114</x:v>
      </x:c>
      <x:c r="F3" s="2" t="s">
        <x:v>13</x:v>
      </x:c>
    </x:row>
    <x:row r="4">
      <x:c r="A4" s="2" t="s">
        <x:v>72</x:v>
      </x:c>
      <x:c r="B4" s="2" t="s">
        <x:v>116</x:v>
      </x:c>
      <x:c r="C4" s="2" t="s">
        <x:v>9</x:v>
      </x:c>
      <x:c r="D4" s="2" t="s">
        <x:v>13</x:v>
      </x:c>
      <x:c r="E4" s="2" t="s">
        <x:v>117</x:v>
      </x:c>
      <x:c r="F4" s="2" t="s">
        <x:v>9</x:v>
      </x:c>
    </x:row>
    <x:row r="5">
      <x:c r="A5" s="28" t="str">
        <x:v>doubles</x:v>
      </x:c>
      <x:c r="B5" s="28" t="str">
        <x:v>Semifinal 1</x:v>
      </x:c>
      <x:c r="C5" s="28" t="str">
        <x:v>Arief / Moeda</x:v>
      </x:c>
      <x:c r="D5" s="28" t="str">
        <x:v>Memed / Heri</x:v>
      </x:c>
      <x:c r="E5" s="28" t="str">
        <x:v>7-2</x:v>
      </x:c>
      <x:c r="F5" s="28" t="str">
        <x:v>Arief / Moeda</x:v>
      </x:c>
    </x:row>
    <x:row r="6">
      <x:c r="A6" s="28" t="str">
        <x:v>doubles</x:v>
      </x:c>
      <x:c r="B6" s="28" t="str">
        <x:v>Semifinal 2</x:v>
      </x:c>
      <x:c r="C6" s="28" t="str">
        <x:v>Fariz / Dian</x:v>
      </x:c>
      <x:c r="D6" s="28" t="str">
        <x:v>Gipa / Mursal</x:v>
      </x:c>
      <x:c r="E6" s="28" t="str">
        <x:v>7-1</x:v>
      </x:c>
      <x:c r="F6" s="28" t="str">
        <x:v>Gipa / Mursal</x:v>
      </x:c>
    </x:row>
    <x:row r="7">
      <x:c r="A7" s="28" t="str">
        <x:v>doubles</x:v>
      </x:c>
      <x:c r="B7" s="28" t="str">
        <x:v>Final</x:v>
      </x:c>
      <x:c r="C7" s="28" t="str">
        <x:v>Arief / Moeda</x:v>
      </x:c>
      <x:c r="D7" s="28" t="str">
        <x:v>Gipa / Mursal</x:v>
      </x:c>
      <x:c r="E7" s="28" t="str">
        <x:v>7-3</x:v>
      </x:c>
      <x:c r="F7" s="28" t="str">
        <x:v>Arief / Moeda</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8.xml><?xml version="1.0" encoding="utf-8"?>
<x:worksheet xmlns:x="http://schemas.openxmlformats.org/spreadsheetml/2006/main">
  <x:sheetFormatPr defaultColWidth="14.430000305175781" defaultRowHeight="15"/>
  <x:cols>
    <x:col min="1" max="1" width="10" customWidth="1"/>
    <x:col min="2" max="2" width="16" customWidth="1"/>
    <x:col min="3" max="3" width="70" customWidth="1"/>
    <x:col min="4" max="6" width="8.710000038146973" customWidth="1"/>
  </x:cols>
  <x:sheetData>
    <x:row r="1" ht="19.5" customHeight="1">
      <x:c r="A1" s="1" t="s">
        <x:v>68</x:v>
      </x:c>
      <x:c r="B1" s="1" t="s">
        <x:v>87</x:v>
      </x:c>
      <x:c r="C1" s="1" t="s">
        <x:v>118</x:v>
      </x:c>
    </x:row>
    <x:row r="2">
      <x:c r="A2" s="2" t="s">
        <x:v>72</x:v>
      </x:c>
      <x:c r="B2" s="2" t="s">
        <x:v>73</x:v>
      </x:c>
      <x:c r="C2" s="3" t="s">
        <x:v>119</x:v>
      </x:c>
    </x:row>
    <x:row r="3">
      <x:c r="A3" s="2" t="s">
        <x:v>72</x:v>
      </x:c>
      <x:c r="B3" s="2" t="s">
        <x:v>77</x:v>
      </x:c>
      <x:c r="C3" s="3" t="s">
        <x:v>120</x:v>
      </x:c>
    </x:row>
    <x:row r="4">
      <x:c r="A4" s="2" t="s">
        <x:v>72</x:v>
      </x:c>
      <x:c r="B4" s="2" t="s">
        <x:v>121</x:v>
      </x:c>
      <x:c r="C4" s="3" t="s">
        <x:v>122</x:v>
      </x:c>
    </x:row>
    <x:row r="5">
      <x:c r="A5" s="2" t="s">
        <x:v>72</x:v>
      </x:c>
      <x:c r="B5" s="2" t="s">
        <x:v>116</x:v>
      </x:c>
      <x:c r="C5" s="3" t="s">
        <x:v>123</x:v>
      </x:c>
    </x:row>
    <x:row r="6">
      <x:c r="A6" s="2" t="s">
        <x:v>86</x:v>
      </x:c>
      <x:c r="B6" s="2" t="s">
        <x:v>102</x:v>
      </x:c>
      <x:c r="C6" s="3" t="s">
        <x:v>124</x:v>
      </x:c>
    </x:row>
    <x:row r="7">
      <x:c r="A7" t="str">
        <x:v>doubles</x:v>
      </x:c>
      <x:c r="B7" t="str">
        <x:v>Group Stage</x:v>
      </x:c>
      <x:c r="C7" t="str">
        <x:v>Group Stage completed across Group A and Group B. Arief / Moeda and Gipa / Mursal advanced from Group A; Fariz / Dian and Memed / Heri advanced from Group B.</x:v>
      </x:c>
    </x:row>
    <x:row r="8">
      <x:c r="A8" t="str">
        <x:v>doubles</x:v>
      </x:c>
      <x:c r="B8" t="str">
        <x:v>Semifinals</x:v>
      </x:c>
      <x:c r="C8" t="str">
        <x:v>Arief / Moeda defeated Memed / Heri 7-2. Gipa / Mursal defeated Fariz / Dian 7-1.</x:v>
      </x:c>
    </x:row>
    <x:row r="9">
      <x:c r="A9" t="str">
        <x:v>doubles</x:v>
      </x:c>
      <x:c r="B9" t="str">
        <x:v>Final</x:v>
      </x:c>
      <x:c r="C9" t="str">
        <x:v>Arief / Moeda defeated Gipa / Mursal 7-3 to win the PIMTC 500 men's doubles championship.</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9.xml><?xml version="1.0" encoding="utf-8"?>
<x:worksheet xmlns:x="http://schemas.openxmlformats.org/spreadsheetml/2006/main">
  <x:sheetFormatPr defaultColWidth="14.430000305175781" defaultRowHeight="15"/>
  <x:cols>
    <x:col min="1" max="1" width="22" customWidth="1"/>
    <x:col min="2" max="2" width="34" customWidth="1"/>
    <x:col min="3" max="3" width="10" customWidth="1"/>
    <x:col min="4" max="4" width="20" customWidth="1"/>
    <x:col min="5" max="5" width="12" customWidth="1"/>
    <x:col min="6" max="6" width="8" customWidth="1"/>
    <x:col min="7" max="7" width="6" customWidth="1"/>
    <x:col min="8" max="8" width="7" customWidth="1"/>
    <x:col min="9" max="9" width="14" customWidth="1"/>
    <x:col min="10" max="10" width="55" customWidth="1"/>
  </x:cols>
  <x:sheetData>
    <x:row r="1" ht="19.5" customHeight="1">
      <x:c r="A1" s="1" t="s">
        <x:v>125</x:v>
      </x:c>
      <x:c r="B1" s="1" t="s">
        <x:v>1</x:v>
      </x:c>
      <x:c r="C1" s="1" t="s">
        <x:v>126</x:v>
      </x:c>
      <x:c r="D1" s="1" t="s">
        <x:v>127</x:v>
      </x:c>
      <x:c r="E1" s="1" t="s">
        <x:v>128</x:v>
      </x:c>
      <x:c r="F1" s="1" t="s">
        <x:v>129</x:v>
      </x:c>
      <x:c r="G1" s="1" t="s">
        <x:v>82</x:v>
      </x:c>
      <x:c r="H1" s="1" t="s">
        <x:v>83</x:v>
      </x:c>
      <x:c r="I1" s="1" t="s">
        <x:v>84</x:v>
      </x:c>
      <x:c r="J1" s="1" t="s">
        <x:v>130</x:v>
      </x:c>
    </x:row>
    <x:row r="2" ht="45" customHeight="1">
      <x:c r="A2" s="2" t="s">
        <x:v>131</x:v>
      </x:c>
      <x:c r="B2" s="2" t="s">
        <x:v>132</x:v>
      </x:c>
      <x:c r="C2" s="2" t="str">
        <x:v>completed</x:v>
      </x:c>
      <x:c r="D2" s="2" t="s">
        <x:v>133</x:v>
      </x:c>
      <x:c r="E2" s="2" t="s">
        <x:v>134</x:v>
      </x:c>
      <x:c r="F2" s="2">
        <x:v>8.0</x:v>
      </x:c>
      <x:c r="G2" s="2">
        <x:v>1.0</x:v>
      </x:c>
      <x:c r="H2" s="2">
        <x:v>7.0</x:v>
      </x:c>
      <x:c r="I2" s="2" t="s">
        <x:v>135</x:v>
      </x:c>
      <x:c r="J2" s="3" t="str">
        <x:v>The PIMTC 500 men's doubles tournament has completed. The full tournament archive and individual doubles player rankings are now available on the Tournaments, Results, and Doubles Rankings pages.</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0.xml><?xml version="1.0" encoding="utf-8"?>
<x:worksheet xmlns:x="http://schemas.openxmlformats.org/spreadsheetml/2006/main">
  <x:sheetFormatPr defaultColWidth="14.430000305175781" defaultRowHeight="15"/>
  <x:cols>
    <x:col min="1" max="1" width="12" customWidth="1"/>
    <x:col min="2" max="2" width="7" customWidth="1"/>
    <x:col min="3" max="3" width="22" customWidth="1"/>
    <x:col min="4" max="4" width="65" customWidth="1"/>
    <x:col min="5" max="5" width="10" customWidth="1"/>
    <x:col min="6" max="6" width="30" customWidth="1"/>
  </x:cols>
  <x:sheetData>
    <x:row r="1" ht="19.5" customHeight="1">
      <x:c r="A1" s="1" t="s">
        <x:v>136</x:v>
      </x:c>
      <x:c r="B1" s="1" t="s">
        <x:v>137</x:v>
      </x:c>
      <x:c r="C1" s="1" t="s">
        <x:v>87</x:v>
      </x:c>
      <x:c r="D1" s="1" t="s">
        <x:v>138</x:v>
      </x:c>
      <x:c r="E1" s="1" t="s">
        <x:v>139</x:v>
      </x:c>
      <x:c r="F1" s="1" t="s">
        <x:v>140</x:v>
      </x:c>
    </x:row>
    <x:row r="2">
      <x:c r="A2" s="5">
        <x:v>46219.0</x:v>
      </x:c>
      <x:c r="B2" s="6">
        <x:v>1.0</x:v>
      </x:c>
      <x:c r="C2" s="6" t="s">
        <x:v>141</x:v>
      </x:c>
      <x:c r="D2" s="7" t="s">
        <x:v>142</x:v>
      </x:c>
      <x:c r="E2" s="8" t="s">
        <x:v>143</x:v>
      </x:c>
      <x:c r="F2" s="9"/>
    </x:row>
    <x:row r="3">
      <x:c r="A3" s="5">
        <x:v>46219.0</x:v>
      </x:c>
      <x:c r="B3" s="6">
        <x:v>2.0</x:v>
      </x:c>
      <x:c r="C3" s="2" t="s">
        <x:v>144</x:v>
      </x:c>
      <x:c r="D3" s="7" t="s">
        <x:v>145</x:v>
      </x:c>
      <x:c r="E3" s="8" t="s">
        <x:v>143</x:v>
      </x:c>
      <x:c r="F3" s="9"/>
    </x:row>
    <x:row r="4">
      <x:c r="A4" s="10">
        <x:v>46217.0</x:v>
      </x:c>
      <x:c r="B4" s="6">
        <x:v>1.0</x:v>
      </x:c>
      <x:c r="C4" s="2" t="s">
        <x:v>144</x:v>
      </x:c>
      <x:c r="D4" s="7" t="s">
        <x:v>146</x:v>
      </x:c>
      <x:c r="E4" s="8" t="s">
        <x:v>143</x:v>
      </x:c>
      <x:c r="F4" s="9"/>
    </x:row>
    <x:row r="5">
      <x:c r="A5" s="10">
        <x:v>46217.0</x:v>
      </x:c>
      <x:c r="B5" s="6">
        <x:v>2.0</x:v>
      </x:c>
      <x:c r="C5" s="2" t="s">
        <x:v>144</x:v>
      </x:c>
      <x:c r="D5" s="3" t="s">
        <x:v>147</x:v>
      </x:c>
      <x:c r="E5" s="11" t="s">
        <x:v>8</x:v>
      </x:c>
      <x:c r="F5" s="9" t="s">
        <x:v>148</x:v>
      </x:c>
    </x:row>
    <x:row r="6">
      <x:c r="A6" s="10">
        <x:v>46216.0</x:v>
      </x:c>
      <x:c r="B6" s="2">
        <x:v>1.0</x:v>
      </x:c>
      <x:c r="C6" s="2" t="s">
        <x:v>144</x:v>
      </x:c>
      <x:c r="D6" s="3" t="s">
        <x:v>149</x:v>
      </x:c>
      <x:c r="E6" s="8" t="s">
        <x:v>143</x:v>
      </x:c>
    </x:row>
    <x:row r="7">
      <x:c r="A7" s="10">
        <x:v>46212.0</x:v>
      </x:c>
      <x:c r="B7" s="2">
        <x:v>1.0</x:v>
      </x:c>
      <x:c r="C7" s="2" t="s">
        <x:v>144</x:v>
      </x:c>
      <x:c r="D7" s="3" t="s">
        <x:v>150</x:v>
      </x:c>
      <x:c r="E7" s="11" t="s">
        <x:v>143</x:v>
      </x:c>
    </x:row>
    <x:row r="8">
      <x:c r="A8" s="10">
        <x:v>46210.0</x:v>
      </x:c>
      <x:c r="B8" s="2">
        <x:v>1.0</x:v>
      </x:c>
      <x:c r="C8" s="2" t="s">
        <x:v>144</x:v>
      </x:c>
      <x:c r="D8" s="3" t="s">
        <x:v>151</x:v>
      </x:c>
      <x:c r="E8" s="11" t="s">
        <x:v>143</x:v>
      </x:c>
    </x:row>
    <x:row r="9">
      <x:c r="A9" s="10">
        <x:v>46209.0</x:v>
      </x:c>
      <x:c r="B9" s="2">
        <x:v>1.0</x:v>
      </x:c>
      <x:c r="C9" s="2" t="s">
        <x:v>144</x:v>
      </x:c>
      <x:c r="D9" s="3" t="s">
        <x:v>152</x:v>
      </x:c>
      <x:c r="E9" s="11" t="s">
        <x:v>143</x:v>
      </x:c>
    </x:row>
    <x:row r="10">
      <x:c r="A10" s="2" t="s">
        <x:v>153</x:v>
      </x:c>
      <x:c r="B10" s="2">
        <x:v>1.0</x:v>
      </x:c>
      <x:c r="C10" s="2" t="s">
        <x:v>144</x:v>
      </x:c>
      <x:c r="D10" s="3" t="s">
        <x:v>154</x:v>
      </x:c>
      <x:c r="E10" s="11" t="s">
        <x:v>143</x:v>
      </x:c>
    </x:row>
    <x:row r="11">
      <x:c r="A11" s="2" t="s">
        <x:v>155</x:v>
      </x:c>
      <x:c r="B11" s="2">
        <x:v>2.0</x:v>
      </x:c>
      <x:c r="C11" s="2" t="s">
        <x:v>144</x:v>
      </x:c>
      <x:c r="D11" s="3" t="s">
        <x:v>156</x:v>
      </x:c>
      <x:c r="E11" s="11" t="s">
        <x:v>8</x:v>
      </x:c>
      <x:c r="F11" s="11" t="s">
        <x:v>157</x:v>
      </x:c>
    </x:row>
    <x:row r="12">
      <x:c r="A12" s="2" t="s">
        <x:v>158</x:v>
      </x:c>
      <x:c r="B12" s="2">
        <x:v>3.0</x:v>
      </x:c>
      <x:c r="C12" s="2" t="s">
        <x:v>144</x:v>
      </x:c>
      <x:c r="D12" s="3" t="s">
        <x:v>159</x:v>
      </x:c>
      <x:c r="E12" s="11" t="s">
        <x:v>143</x:v>
      </x:c>
    </x:row>
    <x:row r="13">
      <x:c r="A13" s="2" t="s">
        <x:v>158</x:v>
      </x:c>
      <x:c r="B13" s="2">
        <x:v>4.0</x:v>
      </x:c>
      <x:c r="C13" s="2" t="s">
        <x:v>144</x:v>
      </x:c>
      <x:c r="D13" s="3" t="s">
        <x:v>160</x:v>
      </x:c>
      <x:c r="E13" s="11" t="s">
        <x:v>8</x:v>
      </x:c>
      <x:c r="F13" s="11" t="s">
        <x:v>161</x:v>
      </x:c>
    </x:row>
    <x:row r="14">
      <x:c r="A14" s="2" t="s">
        <x:v>162</x:v>
      </x:c>
      <x:c r="B14" s="2">
        <x:v>5.0</x:v>
      </x:c>
      <x:c r="C14" s="2" t="s">
        <x:v>163</x:v>
      </x:c>
      <x:c r="D14" s="3" t="s">
        <x:v>164</x:v>
      </x:c>
      <x:c r="E14" s="11" t="s">
        <x:v>143</x:v>
      </x:c>
    </x:row>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row r="1001" ht="15.75" customHeight="1"/>
    <x:row r="1002" ht="15.75" customHeight="1"/>
    <x:row r="1003" ht="15.75" customHeight="1"/>
  </x:sheetData>
  <x:pageMargins left="0.7" right="0.7" top="0.75" bottom="0.75" header="0.3" footer="0.3"/>
</x:worksheet>
</file>

<file path=xl/worksheets/sheet11.xml><?xml version="1.0" encoding="utf-8"?>
<x:worksheet xmlns:x="http://schemas.openxmlformats.org/spreadsheetml/2006/main">
  <x:sheetFormatPr defaultColWidth="14.430000305175781" defaultRowHeight="15"/>
  <x:cols>
    <x:col min="1" max="1" width="14" customWidth="1"/>
    <x:col min="2" max="2" width="10" customWidth="1"/>
    <x:col min="3" max="3" width="8.710000038146973" customWidth="1"/>
    <x:col min="4" max="4" width="14.859999656677246" customWidth="1"/>
    <x:col min="5" max="9" width="6" customWidth="1"/>
    <x:col min="10" max="11" width="7" customWidth="1"/>
    <x:col min="12" max="12" width="8.710000038146973" customWidth="1"/>
    <x:col min="13" max="13" width="11.569999694824219" customWidth="1"/>
    <x:col min="14" max="15" width="8.710000038146973" customWidth="1"/>
    <x:col min="16" max="16" width="14.140000343322754" customWidth="1"/>
    <x:col min="17" max="24" width="8.710000038146973" customWidth="1"/>
    <x:col min="25" max="25" width="11.569999694824219" customWidth="1"/>
    <x:col min="26" max="26" width="8.710000038146973" customWidth="1"/>
    <x:col min="27" max="27" width="2.140000104904175" customWidth="1"/>
    <x:col min="28" max="28" width="14.140000343322754" customWidth="1"/>
    <x:col min="29" max="35" width="8.710000038146973" customWidth="1"/>
  </x:cols>
  <x:sheetData>
    <x:row r="1" ht="19.5" customHeight="1">
      <x:c r="A1" s="1" t="s">
        <x:v>87</x:v>
      </x:c>
      <x:c r="B1" s="1" t="s">
        <x:v>88</x:v>
      </x:c>
      <x:c r="C1" s="1" t="s">
        <x:v>89</x:v>
      </x:c>
      <x:c r="D1" s="1" t="s">
        <x:v>165</x:v>
      </x:c>
      <x:c r="E1" s="1" t="s">
        <x:v>92</x:v>
      </x:c>
      <x:c r="F1" s="1" t="s">
        <x:v>93</x:v>
      </x:c>
      <x:c r="G1" s="1" t="s">
        <x:v>166</x:v>
      </x:c>
      <x:c r="H1" s="1" t="s">
        <x:v>167</x:v>
      </x:c>
      <x:c r="I1" s="1" t="s">
        <x:v>168</x:v>
      </x:c>
      <x:c r="J1" s="1" t="s">
        <x:v>169</x:v>
      </x:c>
      <x:c r="K1" s="1" t="s">
        <x:v>94</x:v>
      </x:c>
    </x:row>
    <x:row r="2">
      <x:c r="A2" s="2" t="s">
        <x:v>144</x:v>
      </x:c>
      <x:c r="B2" s="2" t="s">
        <x:v>96</x:v>
      </x:c>
      <x:c r="C2" s="2">
        <x:v>1.0</x:v>
      </x:c>
      <x:c r="D2" s="2" t="s">
        <x:v>170</x:v>
      </x:c>
      <x:c r="E2" s="2" t="n">
        <x:f t="shared" ref="E2:E9" si="1">F2+G2</x:f>
        <x:v>3</x:v>
      </x:c>
      <x:c r="F2" s="2">
        <x:v>3.0</x:v>
      </x:c>
      <x:c r="G2" s="2">
        <x:v>0.0</x:v>
      </x:c>
      <x:c r="H2" s="2" t="n">
        <x:f>+7+7+7</x:f>
        <x:v>21</x:v>
      </x:c>
      <x:c r="I2" s="2" t="n">
        <x:f>1+4+2</x:f>
        <x:v>7</x:v>
      </x:c>
      <x:c r="J2" s="2" t="n">
        <x:f t="shared" ref="J2:J9" si="2">H2-I2</x:f>
        <x:v>14</x:v>
      </x:c>
      <x:c r="K2" s="2" t="n">
        <x:f t="shared" ref="K2:K9" si="3">F2*3+G2*1</x:f>
        <x:v>9</x:v>
      </x:c>
      <x:c r="M2" s="2" t="s">
        <x:v>144</x:v>
      </x:c>
      <x:c r="N2" s="2" t="s">
        <x:v>96</x:v>
      </x:c>
      <x:c r="O2" s="2">
        <x:v>1.0</x:v>
      </x:c>
      <x:c r="P2" s="2" t="s">
        <x:v>170</x:v>
      </x:c>
      <x:c r="Q2" s="2" t="n">
        <x:f t="shared" ref="Q2:Q9" si="4">R2+S2</x:f>
        <x:v>3</x:v>
      </x:c>
      <x:c r="R2" s="2">
        <x:v>3.0</x:v>
      </x:c>
      <x:c r="S2" s="2">
        <x:v>0.0</x:v>
      </x:c>
      <x:c r="T2" s="2" t="n">
        <x:f>+7+7+7</x:f>
        <x:v>21</x:v>
      </x:c>
      <x:c r="U2" s="2" t="n">
        <x:f>1+4+2</x:f>
        <x:v>7</x:v>
      </x:c>
      <x:c r="V2" s="2" t="n">
        <x:f t="shared" ref="V2:V9" si="5">T2-U2</x:f>
        <x:v>14</x:v>
      </x:c>
      <x:c r="W2" s="2" t="n">
        <x:f t="shared" ref="W2:W9" si="6">R2*3+S2*1</x:f>
        <x:v>9</x:v>
      </x:c>
      <x:c r="Y2" s="2" t="s">
        <x:v>144</x:v>
      </x:c>
      <x:c r="Z2" s="2" t="s">
        <x:v>101</x:v>
      </x:c>
      <x:c r="AA2" s="2">
        <x:v>1.0</x:v>
      </x:c>
      <x:c r="AB2" s="2" t="s">
        <x:v>171</x:v>
      </x:c>
      <x:c r="AC2" s="2" t="n">
        <x:f t="shared" ref="AC2:AC5" si="7">AD2+AE2</x:f>
        <x:v>3</x:v>
      </x:c>
      <x:c r="AD2" s="2">
        <x:v>3.0</x:v>
      </x:c>
      <x:c r="AE2" s="2">
        <x:v>0.0</x:v>
      </x:c>
      <x:c r="AF2" s="2" t="n">
        <x:f>7+7+7</x:f>
        <x:v>21</x:v>
      </x:c>
      <x:c r="AG2" s="2" t="n">
        <x:f>3+6+1</x:f>
        <x:v>10</x:v>
      </x:c>
      <x:c r="AH2" s="2" t="n">
        <x:f t="shared" ref="AH2:AH5" si="8">AF2-AG2</x:f>
        <x:v>11</x:v>
      </x:c>
      <x:c r="AI2" s="2" t="n">
        <x:f t="shared" ref="AI2:AI5" si="9">AD2*3+AE2*1</x:f>
        <x:v>9</x:v>
      </x:c>
    </x:row>
    <x:row r="3">
      <x:c r="A3" s="2" t="s">
        <x:v>144</x:v>
      </x:c>
      <x:c r="B3" s="2" t="s">
        <x:v>96</x:v>
      </x:c>
      <x:c r="C3" s="2">
        <x:v>2.0</x:v>
      </x:c>
      <x:c r="D3" s="2" t="s">
        <x:v>172</x:v>
      </x:c>
      <x:c r="E3" s="2">
        <x:f t="shared" si="1"/>
        <x:v>3</x:v>
      </x:c>
      <x:c r="F3" s="2" t="n">
        <x:f>1+1</x:f>
        <x:v>2</x:v>
      </x:c>
      <x:c r="G3" s="2">
        <x:v>1.0</x:v>
      </x:c>
      <x:c r="H3" s="2" t="n">
        <x:f>7+4+7</x:f>
        <x:v>18</x:v>
      </x:c>
      <x:c r="I3" s="2" t="n">
        <x:f>3+7+3</x:f>
        <x:v>13</x:v>
      </x:c>
      <x:c r="J3" s="2">
        <x:f t="shared" si="2"/>
        <x:v>5</x:v>
      </x:c>
      <x:c r="K3" s="2">
        <x:f t="shared" si="3"/>
        <x:v>7</x:v>
      </x:c>
      <x:c r="M3" s="2" t="s">
        <x:v>144</x:v>
      </x:c>
      <x:c r="N3" s="2" t="s">
        <x:v>96</x:v>
      </x:c>
      <x:c r="O3" s="2">
        <x:v>2.0</x:v>
      </x:c>
      <x:c r="P3" s="2" t="s">
        <x:v>171</x:v>
      </x:c>
      <x:c r="Q3" s="2">
        <x:f t="shared" si="4"/>
        <x:v>3</x:v>
      </x:c>
      <x:c r="R3" s="2">
        <x:v>3.0</x:v>
      </x:c>
      <x:c r="S3" s="2">
        <x:v>0.0</x:v>
      </x:c>
      <x:c r="T3" s="2" t="n">
        <x:f>7+7+7</x:f>
        <x:v>21</x:v>
      </x:c>
      <x:c r="U3" s="2" t="n">
        <x:f>3+6+1</x:f>
        <x:v>10</x:v>
      </x:c>
      <x:c r="V3" s="2">
        <x:f t="shared" si="5"/>
        <x:v>11</x:v>
      </x:c>
      <x:c r="W3" s="2">
        <x:f t="shared" si="6"/>
        <x:v>9</x:v>
      </x:c>
      <x:c r="Y3" s="2" t="s">
        <x:v>144</x:v>
      </x:c>
      <x:c r="Z3" s="2" t="s">
        <x:v>101</x:v>
      </x:c>
      <x:c r="AA3" s="2">
        <x:v>2.0</x:v>
      </x:c>
      <x:c r="AB3" s="2" t="s">
        <x:v>173</x:v>
      </x:c>
      <x:c r="AC3" s="2">
        <x:f t="shared" si="7"/>
        <x:v>3</x:v>
      </x:c>
      <x:c r="AD3" s="2">
        <x:v>2.0</x:v>
      </x:c>
      <x:c r="AE3" s="2">
        <x:v>1.0</x:v>
      </x:c>
      <x:c r="AF3" s="2" t="n">
        <x:f>3+7+7</x:f>
        <x:v>17</x:v>
      </x:c>
      <x:c r="AG3" s="2" t="n">
        <x:f>7+2+2</x:f>
        <x:v>11</x:v>
      </x:c>
      <x:c r="AH3" s="2">
        <x:f t="shared" si="8"/>
        <x:v>6</x:v>
      </x:c>
      <x:c r="AI3" s="2">
        <x:f t="shared" si="9"/>
        <x:v>7</x:v>
      </x:c>
    </x:row>
    <x:row r="4">
      <x:c r="A4" s="2" t="s">
        <x:v>144</x:v>
      </x:c>
      <x:c r="B4" s="2" t="s">
        <x:v>96</x:v>
      </x:c>
      <x:c r="C4" s="2">
        <x:v>3.0</x:v>
      </x:c>
      <x:c r="D4" s="2" t="s">
        <x:v>174</x:v>
      </x:c>
      <x:c r="E4" s="2">
        <x:f t="shared" si="1"/>
        <x:v>3</x:v>
      </x:c>
      <x:c r="F4" s="2">
        <x:v>1.0</x:v>
      </x:c>
      <x:c r="G4" s="2">
        <x:v>2.0</x:v>
      </x:c>
      <x:c r="H4" s="2" t="n">
        <x:f>7+3+2</x:f>
        <x:v>12</x:v>
      </x:c>
      <x:c r="I4" s="2" t="n">
        <x:f>3+7+7</x:f>
        <x:v>17</x:v>
      </x:c>
      <x:c r="J4" s="2">
        <x:f t="shared" si="2"/>
        <x:v>-5</x:v>
      </x:c>
      <x:c r="K4" s="2">
        <x:f t="shared" si="3"/>
        <x:v>5</x:v>
      </x:c>
      <x:c r="M4" s="2" t="s">
        <x:v>144</x:v>
      </x:c>
      <x:c r="N4" s="2" t="s">
        <x:v>96</x:v>
      </x:c>
      <x:c r="O4" s="2">
        <x:v>3.0</x:v>
      </x:c>
      <x:c r="P4" s="2" t="s">
        <x:v>173</x:v>
      </x:c>
      <x:c r="Q4" s="2">
        <x:f t="shared" si="4"/>
        <x:v>3</x:v>
      </x:c>
      <x:c r="R4" s="2">
        <x:v>2.0</x:v>
      </x:c>
      <x:c r="S4" s="2">
        <x:v>1.0</x:v>
      </x:c>
      <x:c r="T4" s="2" t="n">
        <x:f>3+7+7</x:f>
        <x:v>17</x:v>
      </x:c>
      <x:c r="U4" s="2" t="n">
        <x:f>7+2+2</x:f>
        <x:v>11</x:v>
      </x:c>
      <x:c r="V4" s="2">
        <x:f t="shared" si="5"/>
        <x:v>6</x:v>
      </x:c>
      <x:c r="W4" s="2">
        <x:f t="shared" si="6"/>
        <x:v>7</x:v>
      </x:c>
      <x:c r="Y4" s="2" t="s">
        <x:v>144</x:v>
      </x:c>
      <x:c r="Z4" s="2" t="s">
        <x:v>101</x:v>
      </x:c>
      <x:c r="AA4" s="2">
        <x:v>3.0</x:v>
      </x:c>
      <x:c r="AB4" s="2" t="s">
        <x:v>175</x:v>
      </x:c>
      <x:c r="AC4" s="2">
        <x:f t="shared" si="7"/>
        <x:v>3</x:v>
      </x:c>
      <x:c r="AD4" s="2">
        <x:v>1.0</x:v>
      </x:c>
      <x:c r="AE4" s="2">
        <x:v>2.0</x:v>
      </x:c>
      <x:c r="AF4" s="2" t="n">
        <x:f>7+2+1</x:f>
        <x:v>10</x:v>
      </x:c>
      <x:c r="AG4" s="2" t="n">
        <x:f>5+7+7</x:f>
        <x:v>19</x:v>
      </x:c>
      <x:c r="AH4" s="2">
        <x:f t="shared" si="8"/>
        <x:v>-9</x:v>
      </x:c>
      <x:c r="AI4" s="2">
        <x:f t="shared" si="9"/>
        <x:v>5</x:v>
      </x:c>
    </x:row>
    <x:row r="5">
      <x:c r="A5" s="2" t="s">
        <x:v>144</x:v>
      </x:c>
      <x:c r="B5" s="2" t="s">
        <x:v>96</x:v>
      </x:c>
      <x:c r="C5" s="2">
        <x:v>4.0</x:v>
      </x:c>
      <x:c r="D5" s="2" t="s">
        <x:v>176</x:v>
      </x:c>
      <x:c r="E5" s="2">
        <x:f t="shared" si="1"/>
        <x:v>3</x:v>
      </x:c>
      <x:c r="F5" s="2">
        <x:v>0.0</x:v>
      </x:c>
      <x:c r="G5" s="2" t="n">
        <x:f>1+1+1</x:f>
        <x:v>3</x:v>
      </x:c>
      <x:c r="H5" s="2" t="n">
        <x:f>3+1+3</x:f>
        <x:v>7</x:v>
      </x:c>
      <x:c r="I5" s="2" t="n">
        <x:f>7+7+7</x:f>
        <x:v>21</x:v>
      </x:c>
      <x:c r="J5" s="2">
        <x:f t="shared" si="2"/>
        <x:v>-14</x:v>
      </x:c>
      <x:c r="K5" s="2">
        <x:f t="shared" si="3"/>
        <x:v>3</x:v>
      </x:c>
      <x:c r="M5" s="2" t="s">
        <x:v>144</x:v>
      </x:c>
      <x:c r="N5" s="2" t="s">
        <x:v>96</x:v>
      </x:c>
      <x:c r="O5" s="2">
        <x:v>4.0</x:v>
      </x:c>
      <x:c r="P5" s="2" t="s">
        <x:v>172</x:v>
      </x:c>
      <x:c r="Q5" s="2">
        <x:f t="shared" si="4"/>
        <x:v>3</x:v>
      </x:c>
      <x:c r="R5" s="2" t="n">
        <x:f>1+1</x:f>
        <x:v>2</x:v>
      </x:c>
      <x:c r="S5" s="2">
        <x:v>1.0</x:v>
      </x:c>
      <x:c r="T5" s="2" t="n">
        <x:f>7+4+7</x:f>
        <x:v>18</x:v>
      </x:c>
      <x:c r="U5" s="2" t="n">
        <x:f>3+7+3</x:f>
        <x:v>13</x:v>
      </x:c>
      <x:c r="V5" s="2">
        <x:f t="shared" si="5"/>
        <x:v>5</x:v>
      </x:c>
      <x:c r="W5" s="2">
        <x:f t="shared" si="6"/>
        <x:v>7</x:v>
      </x:c>
      <x:c r="Y5" s="2" t="s">
        <x:v>144</x:v>
      </x:c>
      <x:c r="Z5" s="2" t="s">
        <x:v>101</x:v>
      </x:c>
      <x:c r="AA5" s="2">
        <x:v>4.0</x:v>
      </x:c>
      <x:c r="AB5" s="2" t="s">
        <x:v>177</x:v>
      </x:c>
      <x:c r="AC5" s="2">
        <x:f t="shared" si="7"/>
        <x:v>3</x:v>
      </x:c>
      <x:c r="AD5" s="2">
        <x:v>0.0</x:v>
      </x:c>
      <x:c r="AE5" s="2">
        <x:v>3.0</x:v>
      </x:c>
      <x:c r="AF5" s="2" t="n">
        <x:f>2+5+6</x:f>
        <x:v>13</x:v>
      </x:c>
      <x:c r="AG5" s="2" t="n">
        <x:f>7+7+7</x:f>
        <x:v>21</x:v>
      </x:c>
      <x:c r="AH5" s="2">
        <x:f t="shared" si="8"/>
        <x:v>-8</x:v>
      </x:c>
      <x:c r="AI5" s="2">
        <x:f t="shared" si="9"/>
        <x:v>3</x:v>
      </x:c>
    </x:row>
    <x:row r="6">
      <x:c r="A6" s="2" t="s">
        <x:v>144</x:v>
      </x:c>
      <x:c r="B6" s="2" t="s">
        <x:v>101</x:v>
      </x:c>
      <x:c r="C6" s="2">
        <x:v>1.0</x:v>
      </x:c>
      <x:c r="D6" s="2" t="s">
        <x:v>171</x:v>
      </x:c>
      <x:c r="E6" s="2">
        <x:f t="shared" si="1"/>
        <x:v>3</x:v>
      </x:c>
      <x:c r="F6" s="2">
        <x:v>3.0</x:v>
      </x:c>
      <x:c r="G6" s="2">
        <x:v>0.0</x:v>
      </x:c>
      <x:c r="H6" s="2" t="n">
        <x:f>7+7+7</x:f>
        <x:v>21</x:v>
      </x:c>
      <x:c r="I6" s="2" t="n">
        <x:f>3+6+1</x:f>
        <x:v>10</x:v>
      </x:c>
      <x:c r="J6" s="2">
        <x:f t="shared" si="2"/>
        <x:v>11</x:v>
      </x:c>
      <x:c r="K6" s="2">
        <x:f t="shared" si="3"/>
        <x:v>9</x:v>
      </x:c>
      <x:c r="O6" s="12">
        <x:v>5.0</x:v>
      </x:c>
      <x:c r="P6" s="2" t="s">
        <x:v>174</x:v>
      </x:c>
      <x:c r="Q6" s="2">
        <x:f t="shared" si="4"/>
        <x:v>3</x:v>
      </x:c>
      <x:c r="R6" s="2">
        <x:v>1.0</x:v>
      </x:c>
      <x:c r="S6" s="2">
        <x:v>2.0</x:v>
      </x:c>
      <x:c r="T6" s="2" t="n">
        <x:f>7+3+2</x:f>
        <x:v>12</x:v>
      </x:c>
      <x:c r="U6" s="2" t="n">
        <x:f>3+7+7</x:f>
        <x:v>17</x:v>
      </x:c>
      <x:c r="V6" s="2">
        <x:f t="shared" si="5"/>
        <x:v>-5</x:v>
      </x:c>
      <x:c r="W6" s="2">
        <x:f t="shared" si="6"/>
        <x:v>5</x:v>
      </x:c>
    </x:row>
    <x:row r="7">
      <x:c r="A7" s="2" t="s">
        <x:v>144</x:v>
      </x:c>
      <x:c r="B7" s="2" t="s">
        <x:v>101</x:v>
      </x:c>
      <x:c r="C7" s="2">
        <x:v>2.0</x:v>
      </x:c>
      <x:c r="D7" s="2" t="s">
        <x:v>173</x:v>
      </x:c>
      <x:c r="E7" s="2">
        <x:f t="shared" si="1"/>
        <x:v>3</x:v>
      </x:c>
      <x:c r="F7" s="2">
        <x:v>2.0</x:v>
      </x:c>
      <x:c r="G7" s="2">
        <x:v>1.0</x:v>
      </x:c>
      <x:c r="H7" s="2" t="n">
        <x:f>3+7+7</x:f>
        <x:v>17</x:v>
      </x:c>
      <x:c r="I7" s="2" t="n">
        <x:f>7+2+2</x:f>
        <x:v>11</x:v>
      </x:c>
      <x:c r="J7" s="2">
        <x:f t="shared" si="2"/>
        <x:v>6</x:v>
      </x:c>
      <x:c r="K7" s="2">
        <x:f t="shared" si="3"/>
        <x:v>7</x:v>
      </x:c>
      <x:c r="O7" s="12">
        <x:v>6.0</x:v>
      </x:c>
      <x:c r="P7" s="2" t="s">
        <x:v>175</x:v>
      </x:c>
      <x:c r="Q7" s="2">
        <x:f t="shared" si="4"/>
        <x:v>3</x:v>
      </x:c>
      <x:c r="R7" s="2">
        <x:v>1.0</x:v>
      </x:c>
      <x:c r="S7" s="2">
        <x:v>2.0</x:v>
      </x:c>
      <x:c r="T7" s="2" t="n">
        <x:f>7+2+1</x:f>
        <x:v>10</x:v>
      </x:c>
      <x:c r="U7" s="2" t="n">
        <x:f>5+7+7</x:f>
        <x:v>19</x:v>
      </x:c>
      <x:c r="V7" s="2">
        <x:f t="shared" si="5"/>
        <x:v>-9</x:v>
      </x:c>
      <x:c r="W7" s="2">
        <x:f t="shared" si="6"/>
        <x:v>5</x:v>
      </x:c>
    </x:row>
    <x:row r="8">
      <x:c r="A8" s="2" t="s">
        <x:v>144</x:v>
      </x:c>
      <x:c r="B8" s="2" t="s">
        <x:v>101</x:v>
      </x:c>
      <x:c r="C8" s="2">
        <x:v>3.0</x:v>
      </x:c>
      <x:c r="D8" s="2" t="s">
        <x:v>175</x:v>
      </x:c>
      <x:c r="E8" s="2">
        <x:f t="shared" si="1"/>
        <x:v>3</x:v>
      </x:c>
      <x:c r="F8" s="2">
        <x:v>1.0</x:v>
      </x:c>
      <x:c r="G8" s="2">
        <x:v>2.0</x:v>
      </x:c>
      <x:c r="H8" s="2" t="n">
        <x:f>7+2+1</x:f>
        <x:v>10</x:v>
      </x:c>
      <x:c r="I8" s="2" t="n">
        <x:f>5+7+7</x:f>
        <x:v>19</x:v>
      </x:c>
      <x:c r="J8" s="2">
        <x:f t="shared" si="2"/>
        <x:v>-9</x:v>
      </x:c>
      <x:c r="K8" s="2">
        <x:f t="shared" si="3"/>
        <x:v>5</x:v>
      </x:c>
      <x:c r="O8" s="12">
        <x:v>7.0</x:v>
      </x:c>
      <x:c r="P8" s="2" t="s">
        <x:v>177</x:v>
      </x:c>
      <x:c r="Q8" s="2">
        <x:f t="shared" si="4"/>
        <x:v>3</x:v>
      </x:c>
      <x:c r="R8" s="2">
        <x:v>0.0</x:v>
      </x:c>
      <x:c r="S8" s="2">
        <x:v>3.0</x:v>
      </x:c>
      <x:c r="T8" s="2" t="n">
        <x:f>2+5+6</x:f>
        <x:v>13</x:v>
      </x:c>
      <x:c r="U8" s="2" t="n">
        <x:f>7+7+7</x:f>
        <x:v>21</x:v>
      </x:c>
      <x:c r="V8" s="2">
        <x:f t="shared" si="5"/>
        <x:v>-8</x:v>
      </x:c>
      <x:c r="W8" s="2">
        <x:f t="shared" si="6"/>
        <x:v>3</x:v>
      </x:c>
    </x:row>
    <x:row r="9">
      <x:c r="A9" s="2" t="s">
        <x:v>144</x:v>
      </x:c>
      <x:c r="B9" s="2" t="s">
        <x:v>101</x:v>
      </x:c>
      <x:c r="C9" s="2">
        <x:v>4.0</x:v>
      </x:c>
      <x:c r="D9" s="2" t="s">
        <x:v>177</x:v>
      </x:c>
      <x:c r="E9" s="2">
        <x:f t="shared" si="1"/>
        <x:v>3</x:v>
      </x:c>
      <x:c r="F9" s="2">
        <x:v>0.0</x:v>
      </x:c>
      <x:c r="G9" s="2">
        <x:v>3.0</x:v>
      </x:c>
      <x:c r="H9" s="2" t="n">
        <x:f>2+5+6</x:f>
        <x:v>13</x:v>
      </x:c>
      <x:c r="I9" s="2" t="n">
        <x:f>7+7+7</x:f>
        <x:v>21</x:v>
      </x:c>
      <x:c r="J9" s="2">
        <x:f t="shared" si="2"/>
        <x:v>-8</x:v>
      </x:c>
      <x:c r="K9" s="2">
        <x:f t="shared" si="3"/>
        <x:v>3</x:v>
      </x:c>
      <x:c r="O9" s="12">
        <x:v>8.0</x:v>
      </x:c>
      <x:c r="P9" s="2" t="s">
        <x:v>176</x:v>
      </x:c>
      <x:c r="Q9" s="2">
        <x:f t="shared" si="4"/>
        <x:v>3</x:v>
      </x:c>
      <x:c r="R9" s="2">
        <x:v>0.0</x:v>
      </x:c>
      <x:c r="S9" s="2" t="n">
        <x:f>1+1+1</x:f>
        <x:v>3</x:v>
      </x:c>
      <x:c r="T9" s="2" t="n">
        <x:f>3+1+3</x:f>
        <x:v>7</x:v>
      </x:c>
      <x:c r="U9" s="2" t="n">
        <x:f>7+7+7</x:f>
        <x:v>21</x:v>
      </x:c>
      <x:c r="V9" s="2">
        <x:f t="shared" si="5"/>
        <x:v>-14</x:v>
      </x:c>
      <x:c r="W9" s="2">
        <x:f t="shared" si="6"/>
        <x:v>3</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2.xml><?xml version="1.0" encoding="utf-8"?>
<x:worksheet xmlns:x="http://schemas.openxmlformats.org/spreadsheetml/2006/main">
  <x:sheetFormatPr defaultColWidth="14.430000305175781" defaultRowHeight="15"/>
  <x:cols>
    <x:col min="1" max="1" width="12" customWidth="1"/>
    <x:col min="2" max="2" width="10" customWidth="1"/>
    <x:col min="3" max="3" width="9" customWidth="1"/>
    <x:col min="4" max="4" width="12" customWidth="1"/>
    <x:col min="5" max="6" width="16" customWidth="1"/>
    <x:col min="7" max="9" width="8.710000038146973" customWidth="1"/>
    <x:col min="10" max="10" width="10.859999656677246" customWidth="1"/>
    <x:col min="11" max="12" width="8.710000038146973" customWidth="1"/>
    <x:col min="13" max="13" width="10.859999656677246" customWidth="1"/>
    <x:col min="14" max="15" width="13.289999961853027" customWidth="1"/>
  </x:cols>
  <x:sheetData>
    <x:row r="1" ht="19.5" customHeight="1">
      <x:c r="A1" s="1" t="s">
        <x:v>136</x:v>
      </x:c>
      <x:c r="B1" s="1" t="s">
        <x:v>178</x:v>
      </x:c>
      <x:c r="C1" s="1" t="s">
        <x:v>179</x:v>
      </x:c>
      <x:c r="D1" s="1" t="s">
        <x:v>180</x:v>
      </x:c>
      <x:c r="E1" s="1" t="s">
        <x:v>181</x:v>
      </x:c>
      <x:c r="F1" s="1" t="s">
        <x:v>182</x:v>
      </x:c>
      <x:c r="G1" s="13" t="s">
        <x:v>87</x:v>
      </x:c>
      <x:c r="H1" s="13" t="s">
        <x:v>111</x:v>
      </x:c>
      <x:c r="I1" s="13" t="s">
        <x:v>112</x:v>
      </x:c>
    </x:row>
    <x:row r="2">
      <x:c r="A2" s="24" t="str">
        <x:v>2026-07-16</x:v>
      </x:c>
      <x:c r="B2" s="12" t="s">
        <x:v>183</x:v>
      </x:c>
      <x:c r="C2" s="14" t="s">
        <x:v>184</x:v>
      </x:c>
      <x:c r="D2" s="12" t="str">
        <x:v>Lapangan 1</x:v>
      </x:c>
      <x:c r="E2" s="2" t="str">
        <x:v>Gipa / Mursal</x:v>
      </x:c>
      <x:c r="F2" s="2" t="str">
        <x:v>Dian / Fatur</x:v>
      </x:c>
      <x:c r="G2" s="13" t="s">
        <x:v>144</x:v>
      </x:c>
      <x:c r="H2" s="24" t="str">
        <x:v>7-3</x:v>
      </x:c>
      <x:c r="I2" s="2" t="str">
        <x:v>Gipa / Mursal</x:v>
      </x:c>
      <x:c r="J2" s="2"/>
      <x:c r="K2" s="2"/>
      <x:c r="L2" s="2"/>
      <x:c r="M2" s="2"/>
      <x:c r="N2" s="2"/>
      <x:c r="O2" s="2"/>
    </x:row>
    <x:row r="3">
      <x:c r="A3" s="24" t="str">
        <x:v>2026-07-16</x:v>
      </x:c>
      <x:c r="B3" s="12" t="s">
        <x:v>183</x:v>
      </x:c>
      <x:c r="C3" s="14" t="s">
        <x:v>184</x:v>
      </x:c>
      <x:c r="D3" s="12" t="str">
        <x:v>Lapangan 1</x:v>
      </x:c>
      <x:c r="E3" s="6" t="str">
        <x:v>Arief / Moeda</x:v>
      </x:c>
      <x:c r="F3" s="12" t="str">
        <x:v>Memed / Heri</x:v>
      </x:c>
      <x:c r="G3" s="13" t="s">
        <x:v>141</x:v>
      </x:c>
      <x:c r="H3" s="24" t="str">
        <x:v>7-2</x:v>
      </x:c>
      <x:c r="I3" s="12" t="str">
        <x:v>Arief / Moeda</x:v>
      </x:c>
      <x:c r="J3" s="10"/>
    </x:row>
    <x:row r="4">
      <x:c r="A4" s="24" t="str">
        <x:v>2026-07-20</x:v>
      </x:c>
      <x:c r="B4" s="12" t="s">
        <x:v>185</x:v>
      </x:c>
      <x:c r="C4" s="14" t="s">
        <x:v>184</x:v>
      </x:c>
      <x:c r="D4" s="12" t="str">
        <x:v>Lapangan 1</x:v>
      </x:c>
      <x:c r="E4" s="6" t="str">
        <x:v>Fariz / Dian</x:v>
      </x:c>
      <x:c r="F4" s="2" t="str">
        <x:v>Gipa / Mursal</x:v>
      </x:c>
      <x:c r="G4" s="13" t="s">
        <x:v>141</x:v>
      </x:c>
      <x:c r="H4" s="24" t="str">
        <x:v>7-1</x:v>
      </x:c>
      <x:c r="I4" s="2" t="str">
        <x:v>Gipa / Mursal</x:v>
      </x:c>
      <x:c r="J4" s="10"/>
    </x:row>
    <x:row r="5">
      <x:c r="A5" s="24" t="str">
        <x:v>2026-07-21</x:v>
      </x:c>
      <x:c r="B5" s="12" t="s">
        <x:v>186</x:v>
      </x:c>
      <x:c r="C5" s="14" t="s">
        <x:v>184</x:v>
      </x:c>
      <x:c r="D5" s="12" t="str">
        <x:v>Lapangan 1</x:v>
      </x:c>
      <x:c r="E5" s="6" t="str">
        <x:v>Arief / Moeda</x:v>
      </x:c>
      <x:c r="F5" s="2" t="str">
        <x:v>Gipa / Mursal</x:v>
      </x:c>
      <x:c r="G5" s="13" t="s">
        <x:v>116</x:v>
      </x:c>
      <x:c r="H5" s="24" t="str">
        <x:v>7-3</x:v>
      </x:c>
      <x:c r="I5" s="6" t="str">
        <x:v>Arief / Moeda</x:v>
      </x:c>
    </x:row>
    <x:row r="18" ht="15.75" customHeight="1"/>
    <x:row r="19" ht="15.75" customHeight="1"/>
    <x:row r="20" ht="15.75" customHeight="1"/>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3.xml><?xml version="1.0" encoding="utf-8"?>
<x:worksheet xmlns:x="http://schemas.openxmlformats.org/spreadsheetml/2006/main">
  <x:sheetFormatPr defaultColWidth="14.430000305175781" defaultRowHeight="15"/>
  <x:cols>
    <x:col min="1" max="1" width="26" customWidth="1"/>
    <x:col min="2" max="2" width="12" customWidth="1"/>
    <x:col min="3" max="3" width="40" customWidth="1"/>
    <x:col min="4" max="4" width="10" customWidth="1"/>
    <x:col min="5" max="5" width="30" customWidth="1"/>
    <x:col min="6" max="6" width="8.710000038146973" customWidth="1"/>
  </x:cols>
  <x:sheetData>
    <x:row r="1" ht="19.5" customHeight="1">
      <x:c r="A1" s="1" t="s">
        <x:v>187</x:v>
      </x:c>
      <x:c r="B1" s="1" t="s">
        <x:v>136</x:v>
      </x:c>
      <x:c r="C1" s="1" t="s">
        <x:v>138</x:v>
      </x:c>
      <x:c r="D1" s="1" t="s">
        <x:v>139</x:v>
      </x:c>
      <x:c r="E1" s="1" t="s">
        <x:v>140</x:v>
      </x:c>
    </x:row>
    <x:row r="2">
      <x:c r="A2" s="2" t="s">
        <x:v>188</x:v>
      </x:c>
      <x:c r="D2" s="2" t="s">
        <x:v>8</x:v>
      </x:c>
      <x:c r="E2" s="9" t="s">
        <x:v>65</x:v>
      </x:c>
    </x:row>
    <x:row r="3">
      <x:c r="A3" s="2" t="s">
        <x:v>188</x:v>
      </x:c>
      <x:c r="D3" s="2" t="s">
        <x:v>8</x:v>
      </x:c>
      <x:c r="E3" s="9" t="s">
        <x:v>189</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4.xml><?xml version="1.0" encoding="utf-8"?>
<x:worksheet xmlns:x="http://schemas.openxmlformats.org/spreadsheetml/2006/main">
  <x:sheetFormatPr defaultColWidth="14.430000305175781" defaultRowHeight="15"/>
  <x:cols>
    <x:col min="1" max="1" width="8" customWidth="1"/>
    <x:col min="2" max="2" width="45" customWidth="1"/>
    <x:col min="3" max="3" width="35" customWidth="1"/>
    <x:col min="4" max="6" width="8.710000038146973" customWidth="1"/>
  </x:cols>
  <x:sheetData>
    <x:row r="1" ht="19.5" customHeight="1">
      <x:c r="A1" s="1" t="s">
        <x:v>137</x:v>
      </x:c>
      <x:c r="B1" s="1" t="s">
        <x:v>140</x:v>
      </x:c>
      <x:c r="C1" s="1" t="s">
        <x:v>138</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5.xml><?xml version="1.0" encoding="utf-8"?>
<x:worksheet xmlns:x="http://schemas.openxmlformats.org/spreadsheetml/2006/main">
  <x:sheetFormatPr defaultRowHeight="15"/>
  <x:cols>
    <x:col min="1" max="1" width="4" hidden="0" customWidth="1"/>
    <x:col min="2" max="2" width="6.380000114440918" hidden="0" customWidth="1"/>
    <x:col min="3" max="3" width="6.380000114440918" hidden="0" customWidth="1"/>
    <x:col min="4" max="4" width="12" hidden="0" customWidth="1"/>
    <x:col min="5" max="5" width="4.130000114440918" hidden="0" customWidth="1"/>
    <x:col min="6" max="6" width="5.130000114440918" hidden="0" customWidth="1"/>
    <x:col min="7" max="7" width="3" hidden="0" customWidth="1"/>
    <x:col min="8" max="8" width="2.75" hidden="0" customWidth="1"/>
    <x:col min="9" max="9" width="2.380000114440918" hidden="0" customWidth="1"/>
    <x:col min="10" max="10" width="3.130000114440918" hidden="0" customWidth="1"/>
    <x:col min="11" max="11" width="5.25" hidden="0" customWidth="1"/>
    <x:col min="12" max="12" width="9.75" hidden="0" customWidth="1"/>
    <x:col min="13" max="13" width="23.25" hidden="0" customWidth="1"/>
    <x:col min="14" max="14" width="5.130000114440918" hidden="0" customWidth="1"/>
  </x:cols>
  <x:sheetData>
    <x:row r="1">
      <x:c r="A1" s="27" t="str">
        <x:v>rank</x:v>
      </x:c>
      <x:c r="B1" s="27" t="str">
        <x:v>name</x:v>
      </x:c>
      <x:c r="C1" s="27" t="str">
        <x:v>partner</x:v>
      </x:c>
      <x:c r="D1" s="27" t="str">
        <x:v>pair</x:v>
      </x:c>
      <x:c r="E1" s="27" t="str">
        <x:v>wins</x:v>
      </x:c>
      <x:c r="F1" s="27" t="str">
        <x:v>losses</x:v>
      </x:c>
      <x:c r="G1" s="27" t="str">
        <x:v>mp</x:v>
      </x:c>
      <x:c r="H1" s="27" t="str">
        <x:v>gw</x:v>
      </x:c>
      <x:c r="I1" s="27" t="str">
        <x:v>gl</x:v>
      </x:c>
      <x:c r="J1" s="27" t="str">
        <x:v>diff</x:v>
      </x:c>
      <x:c r="K1" s="27" t="str">
        <x:v>points</x:v>
      </x:c>
      <x:c r="L1" s="27" t="str">
        <x:v>result</x:v>
      </x:c>
      <x:c r="M1" s="27" t="str">
        <x:v>note</x:v>
      </x:c>
      <x:c r="N1" s="27" t="str">
        <x:v>photo</x:v>
      </x:c>
    </x:row>
    <x:row r="2">
      <x:c r="A2" t="n">
        <x:v>1</x:v>
      </x:c>
      <x:c r="B2" t="str">
        <x:v>Arief</x:v>
      </x:c>
      <x:c r="C2" t="str">
        <x:v>Moeda</x:v>
      </x:c>
      <x:c r="D2" t="str">
        <x:v>Arief / Moeda</x:v>
      </x:c>
      <x:c r="E2" t="n">
        <x:v>5</x:v>
      </x:c>
      <x:c r="F2" t="n">
        <x:v>0</x:v>
      </x:c>
      <x:c r="G2" t="n">
        <x:v>5</x:v>
      </x:c>
      <x:c r="H2" t="n">
        <x:v>35</x:v>
      </x:c>
      <x:c r="I2" t="n">
        <x:v>12</x:v>
      </x:c>
      <x:c r="J2" t="n">
        <x:v>23</x:v>
      </x:c>
      <x:c r="K2" t="n">
        <x:v>15</x:v>
      </x:c>
      <x:c r="L2" t="str">
        <x:v>Champion</x:v>
      </x:c>
      <x:c r="M2" t="str">
        <x:v>Partner: Moeda · Champion</x:v>
      </x:c>
      <x:c r="N2" t="str"/>
    </x:row>
    <x:row r="3">
      <x:c r="A3" t="n">
        <x:v>2</x:v>
      </x:c>
      <x:c r="B3" t="str">
        <x:v>Moeda</x:v>
      </x:c>
      <x:c r="C3" t="str">
        <x:v>Arief</x:v>
      </x:c>
      <x:c r="D3" t="str">
        <x:v>Arief / Moeda</x:v>
      </x:c>
      <x:c r="E3" t="n">
        <x:v>5</x:v>
      </x:c>
      <x:c r="F3" t="n">
        <x:v>0</x:v>
      </x:c>
      <x:c r="G3" t="n">
        <x:v>5</x:v>
      </x:c>
      <x:c r="H3" t="n">
        <x:v>35</x:v>
      </x:c>
      <x:c r="I3" t="n">
        <x:v>12</x:v>
      </x:c>
      <x:c r="J3" t="n">
        <x:v>23</x:v>
      </x:c>
      <x:c r="K3" t="n">
        <x:v>15</x:v>
      </x:c>
      <x:c r="L3" t="str">
        <x:v>Champion</x:v>
      </x:c>
      <x:c r="M3" t="str">
        <x:v>Partner: Arief · Champion</x:v>
      </x:c>
      <x:c r="N3" t="str"/>
    </x:row>
    <x:row r="4">
      <x:c r="A4" t="n">
        <x:v>3</x:v>
      </x:c>
      <x:c r="B4" t="str">
        <x:v>Gipa</x:v>
      </x:c>
      <x:c r="C4" t="str">
        <x:v>Mursal</x:v>
      </x:c>
      <x:c r="D4" t="str">
        <x:v>Gipa / Mursal</x:v>
      </x:c>
      <x:c r="E4" t="n">
        <x:v>3</x:v>
      </x:c>
      <x:c r="F4" t="n">
        <x:v>2</x:v>
      </x:c>
      <x:c r="G4" t="n">
        <x:v>5</x:v>
      </x:c>
      <x:c r="H4" t="n">
        <x:v>28</x:v>
      </x:c>
      <x:c r="I4" t="n">
        <x:v>21</x:v>
      </x:c>
      <x:c r="J4" t="n">
        <x:v>7</x:v>
      </x:c>
      <x:c r="K4" t="n">
        <x:v>11</x:v>
      </x:c>
      <x:c r="L4" t="str">
        <x:v>Runner-up</x:v>
      </x:c>
      <x:c r="M4" t="str">
        <x:v>Partner: Mursal · Runner-up</x:v>
      </x:c>
      <x:c r="N4" t="str"/>
    </x:row>
    <x:row r="5">
      <x:c r="A5" t="n">
        <x:v>4</x:v>
      </x:c>
      <x:c r="B5" t="str">
        <x:v>Mursal</x:v>
      </x:c>
      <x:c r="C5" t="str">
        <x:v>Gipa</x:v>
      </x:c>
      <x:c r="D5" t="str">
        <x:v>Gipa / Mursal</x:v>
      </x:c>
      <x:c r="E5" t="n">
        <x:v>3</x:v>
      </x:c>
      <x:c r="F5" t="n">
        <x:v>2</x:v>
      </x:c>
      <x:c r="G5" t="n">
        <x:v>5</x:v>
      </x:c>
      <x:c r="H5" t="n">
        <x:v>28</x:v>
      </x:c>
      <x:c r="I5" t="n">
        <x:v>21</x:v>
      </x:c>
      <x:c r="J5" t="n">
        <x:v>7</x:v>
      </x:c>
      <x:c r="K5" t="n">
        <x:v>11</x:v>
      </x:c>
      <x:c r="L5" t="str">
        <x:v>Runner-up</x:v>
      </x:c>
      <x:c r="M5" t="str">
        <x:v>Partner: Gipa · Runner-up</x:v>
      </x:c>
      <x:c r="N5" t="str"/>
    </x:row>
    <x:row r="6">
      <x:c r="A6" t="n">
        <x:v>5</x:v>
      </x:c>
      <x:c r="B6" t="str">
        <x:v>Fariz</x:v>
      </x:c>
      <x:c r="C6" t="str">
        <x:v>Dian</x:v>
      </x:c>
      <x:c r="D6" t="str">
        <x:v>Fariz / Dian</x:v>
      </x:c>
      <x:c r="E6" t="n">
        <x:v>3</x:v>
      </x:c>
      <x:c r="F6" t="n">
        <x:v>1</x:v>
      </x:c>
      <x:c r="G6" t="n">
        <x:v>4</x:v>
      </x:c>
      <x:c r="H6" t="n">
        <x:v>22</x:v>
      </x:c>
      <x:c r="I6" t="n">
        <x:v>17</x:v>
      </x:c>
      <x:c r="J6" t="n">
        <x:v>5</x:v>
      </x:c>
      <x:c r="K6" t="n">
        <x:v>10</x:v>
      </x:c>
      <x:c r="L6" t="str">
        <x:v>Semifinalist</x:v>
      </x:c>
      <x:c r="M6" t="str">
        <x:v>Partner: Dian · Semifinalist</x:v>
      </x:c>
      <x:c r="N6" t="str"/>
    </x:row>
    <x:row r="7">
      <x:c r="A7" t="n">
        <x:v>6</x:v>
      </x:c>
      <x:c r="B7" t="str">
        <x:v>Dian</x:v>
      </x:c>
      <x:c r="C7" t="str">
        <x:v>Fariz</x:v>
      </x:c>
      <x:c r="D7" t="str">
        <x:v>Fariz / Dian</x:v>
      </x:c>
      <x:c r="E7" t="n">
        <x:v>3</x:v>
      </x:c>
      <x:c r="F7" t="n">
        <x:v>1</x:v>
      </x:c>
      <x:c r="G7" t="n">
        <x:v>4</x:v>
      </x:c>
      <x:c r="H7" t="n">
        <x:v>22</x:v>
      </x:c>
      <x:c r="I7" t="n">
        <x:v>17</x:v>
      </x:c>
      <x:c r="J7" t="n">
        <x:v>5</x:v>
      </x:c>
      <x:c r="K7" t="n">
        <x:v>10</x:v>
      </x:c>
      <x:c r="L7" t="str">
        <x:v>Semifinalist</x:v>
      </x:c>
      <x:c r="M7" t="str">
        <x:v>Partner: Fariz · Semifinalist</x:v>
      </x:c>
      <x:c r="N7" t="str"/>
    </x:row>
    <x:row r="8">
      <x:c r="A8" t="n">
        <x:v>7</x:v>
      </x:c>
      <x:c r="B8" t="str">
        <x:v>Memed</x:v>
      </x:c>
      <x:c r="C8" t="str">
        <x:v>Heri</x:v>
      </x:c>
      <x:c r="D8" t="str">
        <x:v>Memed / Heri</x:v>
      </x:c>
      <x:c r="E8" t="n">
        <x:v>2</x:v>
      </x:c>
      <x:c r="F8" t="n">
        <x:v>2</x:v>
      </x:c>
      <x:c r="G8" t="n">
        <x:v>4</x:v>
      </x:c>
      <x:c r="H8" t="n">
        <x:v>19</x:v>
      </x:c>
      <x:c r="I8" t="n">
        <x:v>18</x:v>
      </x:c>
      <x:c r="J8" t="n">
        <x:v>1</x:v>
      </x:c>
      <x:c r="K8" t="n">
        <x:v>8</x:v>
      </x:c>
      <x:c r="L8" t="str">
        <x:v>Semifinalist</x:v>
      </x:c>
      <x:c r="M8" t="str">
        <x:v>Partner: Heri · Semifinalist</x:v>
      </x:c>
      <x:c r="N8" t="str"/>
    </x:row>
    <x:row r="9">
      <x:c r="A9" t="n">
        <x:v>8</x:v>
      </x:c>
      <x:c r="B9" t="str">
        <x:v>Heri</x:v>
      </x:c>
      <x:c r="C9" t="str">
        <x:v>Memed</x:v>
      </x:c>
      <x:c r="D9" t="str">
        <x:v>Memed / Heri</x:v>
      </x:c>
      <x:c r="E9" t="n">
        <x:v>2</x:v>
      </x:c>
      <x:c r="F9" t="n">
        <x:v>2</x:v>
      </x:c>
      <x:c r="G9" t="n">
        <x:v>4</x:v>
      </x:c>
      <x:c r="H9" t="n">
        <x:v>19</x:v>
      </x:c>
      <x:c r="I9" t="n">
        <x:v>18</x:v>
      </x:c>
      <x:c r="J9" t="n">
        <x:v>1</x:v>
      </x:c>
      <x:c r="K9" t="n">
        <x:v>8</x:v>
      </x:c>
      <x:c r="L9" t="str">
        <x:v>Semifinalist</x:v>
      </x:c>
      <x:c r="M9" t="str">
        <x:v>Partner: Memed · Semifinalist</x:v>
      </x:c>
      <x:c r="N9" t="str"/>
    </x:row>
    <x:row r="10">
      <x:c r="A10" t="n">
        <x:v>9</x:v>
      </x:c>
      <x:c r="B10" t="str">
        <x:v>Osman</x:v>
      </x:c>
      <x:c r="C10" t="str">
        <x:v>Ferdy</x:v>
      </x:c>
      <x:c r="D10" t="str">
        <x:v>Osman / Ferdy</x:v>
      </x:c>
      <x:c r="E10" t="n">
        <x:v>1</x:v>
      </x:c>
      <x:c r="F10" t="n">
        <x:v>2</x:v>
      </x:c>
      <x:c r="G10" t="n">
        <x:v>3</x:v>
      </x:c>
      <x:c r="H10" t="n">
        <x:v>12</x:v>
      </x:c>
      <x:c r="I10" t="n">
        <x:v>17</x:v>
      </x:c>
      <x:c r="J10" t="n">
        <x:v>-5</x:v>
      </x:c>
      <x:c r="K10" t="n">
        <x:v>5</x:v>
      </x:c>
      <x:c r="L10" t="str">
        <x:v>Group Stage</x:v>
      </x:c>
      <x:c r="M10" t="str">
        <x:v>Partner: Ferdy · Group Stage</x:v>
      </x:c>
      <x:c r="N10" t="str"/>
    </x:row>
    <x:row r="11">
      <x:c r="A11" t="n">
        <x:v>10</x:v>
      </x:c>
      <x:c r="B11" t="str">
        <x:v>Ferdy</x:v>
      </x:c>
      <x:c r="C11" t="str">
        <x:v>Osman</x:v>
      </x:c>
      <x:c r="D11" t="str">
        <x:v>Osman / Ferdy</x:v>
      </x:c>
      <x:c r="E11" t="n">
        <x:v>1</x:v>
      </x:c>
      <x:c r="F11" t="n">
        <x:v>2</x:v>
      </x:c>
      <x:c r="G11" t="n">
        <x:v>3</x:v>
      </x:c>
      <x:c r="H11" t="n">
        <x:v>12</x:v>
      </x:c>
      <x:c r="I11" t="n">
        <x:v>17</x:v>
      </x:c>
      <x:c r="J11" t="n">
        <x:v>-5</x:v>
      </x:c>
      <x:c r="K11" t="n">
        <x:v>5</x:v>
      </x:c>
      <x:c r="L11" t="str">
        <x:v>Group Stage</x:v>
      </x:c>
      <x:c r="M11" t="str">
        <x:v>Partner: Osman · Group Stage</x:v>
      </x:c>
      <x:c r="N11" t="str"/>
    </x:row>
    <x:row r="12">
      <x:c r="A12" t="n">
        <x:v>11</x:v>
      </x:c>
      <x:c r="B12" t="str">
        <x:v>Akbar</x:v>
      </x:c>
      <x:c r="C12" t="str">
        <x:v>Syahrul</x:v>
      </x:c>
      <x:c r="D12" t="str">
        <x:v>Akbar / Syahrul</x:v>
      </x:c>
      <x:c r="E12" t="n">
        <x:v>1</x:v>
      </x:c>
      <x:c r="F12" t="n">
        <x:v>2</x:v>
      </x:c>
      <x:c r="G12" t="n">
        <x:v>3</x:v>
      </x:c>
      <x:c r="H12" t="n">
        <x:v>10</x:v>
      </x:c>
      <x:c r="I12" t="n">
        <x:v>19</x:v>
      </x:c>
      <x:c r="J12" t="n">
        <x:v>-9</x:v>
      </x:c>
      <x:c r="K12" t="n">
        <x:v>5</x:v>
      </x:c>
      <x:c r="L12" t="str">
        <x:v>Group Stage</x:v>
      </x:c>
      <x:c r="M12" t="str">
        <x:v>Partner: Syahrul · Group Stage</x:v>
      </x:c>
      <x:c r="N12" t="str"/>
    </x:row>
    <x:row r="13">
      <x:c r="A13" t="n">
        <x:v>12</x:v>
      </x:c>
      <x:c r="B13" t="str">
        <x:v>Syahrul</x:v>
      </x:c>
      <x:c r="C13" t="str">
        <x:v>Akbar</x:v>
      </x:c>
      <x:c r="D13" t="str">
        <x:v>Akbar / Syahrul</x:v>
      </x:c>
      <x:c r="E13" t="n">
        <x:v>1</x:v>
      </x:c>
      <x:c r="F13" t="n">
        <x:v>2</x:v>
      </x:c>
      <x:c r="G13" t="n">
        <x:v>3</x:v>
      </x:c>
      <x:c r="H13" t="n">
        <x:v>10</x:v>
      </x:c>
      <x:c r="I13" t="n">
        <x:v>19</x:v>
      </x:c>
      <x:c r="J13" t="n">
        <x:v>-9</x:v>
      </x:c>
      <x:c r="K13" t="n">
        <x:v>5</x:v>
      </x:c>
      <x:c r="L13" t="str">
        <x:v>Group Stage</x:v>
      </x:c>
      <x:c r="M13" t="str">
        <x:v>Partner: Akbar · Group Stage</x:v>
      </x:c>
      <x:c r="N13" t="str"/>
    </x:row>
    <x:row r="14">
      <x:c r="A14" t="n">
        <x:v>13</x:v>
      </x:c>
      <x:c r="B14" t="str">
        <x:v>Zes</x:v>
      </x:c>
      <x:c r="C14" t="str">
        <x:v>Rahmat</x:v>
      </x:c>
      <x:c r="D14" t="str">
        <x:v>Zes / Rahmat</x:v>
      </x:c>
      <x:c r="E14" t="n">
        <x:v>0</x:v>
      </x:c>
      <x:c r="F14" t="n">
        <x:v>3</x:v>
      </x:c>
      <x:c r="G14" t="n">
        <x:v>3</x:v>
      </x:c>
      <x:c r="H14" t="n">
        <x:v>13</x:v>
      </x:c>
      <x:c r="I14" t="n">
        <x:v>21</x:v>
      </x:c>
      <x:c r="J14" t="n">
        <x:v>-8</x:v>
      </x:c>
      <x:c r="K14" t="n">
        <x:v>3</x:v>
      </x:c>
      <x:c r="L14" t="str">
        <x:v>Group Stage</x:v>
      </x:c>
      <x:c r="M14" t="str">
        <x:v>Partner: Rahmat · Group Stage</x:v>
      </x:c>
      <x:c r="N14" t="str"/>
    </x:row>
    <x:row r="15">
      <x:c r="A15" t="n">
        <x:v>14</x:v>
      </x:c>
      <x:c r="B15" t="str">
        <x:v>Rahmat</x:v>
      </x:c>
      <x:c r="C15" t="str">
        <x:v>Zes</x:v>
      </x:c>
      <x:c r="D15" t="str">
        <x:v>Zes / Rahmat</x:v>
      </x:c>
      <x:c r="E15" t="n">
        <x:v>0</x:v>
      </x:c>
      <x:c r="F15" t="n">
        <x:v>3</x:v>
      </x:c>
      <x:c r="G15" t="n">
        <x:v>3</x:v>
      </x:c>
      <x:c r="H15" t="n">
        <x:v>13</x:v>
      </x:c>
      <x:c r="I15" t="n">
        <x:v>21</x:v>
      </x:c>
      <x:c r="J15" t="n">
        <x:v>-8</x:v>
      </x:c>
      <x:c r="K15" t="n">
        <x:v>3</x:v>
      </x:c>
      <x:c r="L15" t="str">
        <x:v>Group Stage</x:v>
      </x:c>
      <x:c r="M15" t="str">
        <x:v>Partner: Zes · Group Stage</x:v>
      </x:c>
      <x:c r="N15" t="str"/>
    </x:row>
    <x:row r="16">
      <x:c r="A16" t="n">
        <x:v>15</x:v>
      </x:c>
      <x:c r="B16" t="str">
        <x:v>Fatur</x:v>
      </x:c>
      <x:c r="C16" t="str">
        <x:v>Dian</x:v>
      </x:c>
      <x:c r="D16" t="str">
        <x:v>Fatur / Dian</x:v>
      </x:c>
      <x:c r="E16" t="n">
        <x:v>0</x:v>
      </x:c>
      <x:c r="F16" t="n">
        <x:v>3</x:v>
      </x:c>
      <x:c r="G16" t="n">
        <x:v>3</x:v>
      </x:c>
      <x:c r="H16" t="n">
        <x:v>7</x:v>
      </x:c>
      <x:c r="I16" t="n">
        <x:v>21</x:v>
      </x:c>
      <x:c r="J16" t="n">
        <x:v>-14</x:v>
      </x:c>
      <x:c r="K16" t="n">
        <x:v>3</x:v>
      </x:c>
      <x:c r="L16" t="str">
        <x:v>Group Stage</x:v>
      </x:c>
      <x:c r="M16" t="str">
        <x:v>Partner: Dian · Group Stage</x:v>
      </x:c>
      <x:c r="N16" t="str"/>
    </x:row>
    <x:row r="17">
      <x:c r="A17" t="n">
        <x:v>16</x:v>
      </x:c>
      <x:c r="B17" t="str">
        <x:v>Dian</x:v>
      </x:c>
      <x:c r="C17" t="str">
        <x:v>Fatur</x:v>
      </x:c>
      <x:c r="D17" t="str">
        <x:v>Fatur / Dian</x:v>
      </x:c>
      <x:c r="E17" t="n">
        <x:v>0</x:v>
      </x:c>
      <x:c r="F17" t="n">
        <x:v>3</x:v>
      </x:c>
      <x:c r="G17" t="n">
        <x:v>3</x:v>
      </x:c>
      <x:c r="H17" t="n">
        <x:v>7</x:v>
      </x:c>
      <x:c r="I17" t="n">
        <x:v>21</x:v>
      </x:c>
      <x:c r="J17" t="n">
        <x:v>-14</x:v>
      </x:c>
      <x:c r="K17" t="n">
        <x:v>3</x:v>
      </x:c>
      <x:c r="L17" t="str">
        <x:v>Group Stage</x:v>
      </x:c>
      <x:c r="M17" t="str">
        <x:v>Partner: Fatur · Group Stage</x:v>
      </x:c>
      <x:c r="N17" t="str"/>
    </x:row>
  </x:sheetData>
  <x:pageMargins left="0.7" right="0.7" top="0.75" bottom="0.75" header="0.3" footer="0.3"/>
</x:worksheet>
</file>